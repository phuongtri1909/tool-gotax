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63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color rgb="000563C1"/>
      <u val="single"/>
    </font>
    <font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4" fontId="1" fillId="2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top"/>
    </xf>
    <xf numFmtId="3" fontId="4" fillId="2" borderId="1" applyAlignment="1" pivotButton="0" quotePrefix="0" xfId="0">
      <alignment horizontal="center" vertical="top"/>
    </xf>
    <xf numFmtId="0" fontId="4" fillId="2" borderId="2" applyAlignment="1" pivotButton="0" quotePrefix="0" xfId="0">
      <alignment horizontal="center" vertical="top"/>
    </xf>
    <xf numFmtId="0" fontId="4" fillId="0" borderId="3" pivotButton="0" quotePrefix="0" xfId="0"/>
    <xf numFmtId="3" fontId="4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tabSelected="1" topLeftCell="AD1" zoomScaleNormal="100" workbookViewId="0">
      <selection activeCell="AI11" sqref="AI11"/>
    </sheetView>
  </sheetViews>
  <sheetFormatPr baseColWidth="8" defaultRowHeight="15"/>
  <cols>
    <col width="12.5703125" customWidth="1" min="1" max="1"/>
    <col width="21.7109375" customWidth="1" min="2" max="2"/>
    <col width="19.85546875" customWidth="1" min="3" max="4"/>
    <col width="20.5703125" customWidth="1" min="5" max="5"/>
    <col width="35" customWidth="1" min="6" max="6"/>
    <col width="44.7109375" customWidth="1" min="7" max="7"/>
    <col width="19.85546875" customWidth="1" min="8" max="9"/>
    <col width="36.85546875" customWidth="1" min="10" max="10"/>
    <col width="19.28515625" customWidth="1" min="11" max="11"/>
    <col width="63.85546875" customWidth="1" min="12" max="12"/>
    <col width="44.28515625" customWidth="1" min="13" max="13"/>
    <col width="28.7109375" customWidth="1" min="14" max="14"/>
    <col width="51.42578125" customWidth="1" min="15" max="15"/>
    <col width="14.7109375" customWidth="1" min="16" max="16"/>
    <col width="57.28515625" customWidth="1" min="17" max="17"/>
    <col width="19.85546875" customWidth="1" min="18" max="27"/>
    <col width="39.42578125" customWidth="1" min="28" max="28"/>
    <col width="60.7109375" customWidth="1" min="29" max="29"/>
    <col width="34.7109375" customWidth="1" min="30" max="30"/>
    <col width="23.5703125" customWidth="1" min="31" max="31"/>
    <col width="21.42578125" customWidth="1" min="32" max="32"/>
    <col width="26.140625" customWidth="1" min="33" max="33"/>
    <col width="23.85546875" customWidth="1" min="34" max="34"/>
    <col width="36.42578125" customWidth="1" min="35" max="35"/>
    <col width="18.85546875" customWidth="1" min="36" max="36"/>
    <col width="15.5703125" customWidth="1" min="37" max="37"/>
  </cols>
  <sheetData>
    <row r="1">
      <c r="A1" s="5" t="inlineStr">
        <is>
          <t>Mẫu số HD</t>
        </is>
      </c>
      <c r="B1" s="5" t="inlineStr">
        <is>
          <t>Ký hiệu hóa  đơn</t>
        </is>
      </c>
      <c r="C1" s="5" t="inlineStr">
        <is>
          <t>Số hóa đơn</t>
        </is>
      </c>
      <c r="D1" s="5" t="inlineStr">
        <is>
          <t>Ngày lập hóa đơn</t>
        </is>
      </c>
      <c r="E1" s="5" t="inlineStr">
        <is>
          <t>Ngày người bán ký số</t>
        </is>
      </c>
      <c r="F1" s="5" t="inlineStr">
        <is>
          <t>MCCQT</t>
        </is>
      </c>
      <c r="G1" s="5" t="inlineStr">
        <is>
          <t>Ngày CQT ký số</t>
        </is>
      </c>
      <c r="H1" s="5" t="inlineStr">
        <is>
          <t>Đơn vị tiền tệ</t>
        </is>
      </c>
      <c r="I1" s="5" t="inlineStr">
        <is>
          <t>Tỷ giá</t>
        </is>
      </c>
      <c r="J1" s="5" t="inlineStr">
        <is>
          <t>Tên người bán</t>
        </is>
      </c>
      <c r="K1" s="5" t="inlineStr">
        <is>
          <t>MST người bán</t>
        </is>
      </c>
      <c r="L1" s="5" t="inlineStr">
        <is>
          <t>Địa chỉ người bán</t>
        </is>
      </c>
      <c r="M1" s="5" t="inlineStr">
        <is>
          <t>Tên người mua</t>
        </is>
      </c>
      <c r="N1" s="5" t="inlineStr">
        <is>
          <t>MST người mua</t>
        </is>
      </c>
      <c r="O1" s="5" t="inlineStr">
        <is>
          <t>Địa chỉ người mua</t>
        </is>
      </c>
      <c r="P1" s="5" t="inlineStr">
        <is>
          <t>Mã VT</t>
        </is>
      </c>
      <c r="Q1" s="5" t="inlineStr">
        <is>
          <t>Tên hàng hóa, dịch vụ</t>
        </is>
      </c>
      <c r="R1" s="5" t="inlineStr">
        <is>
          <t>Đơn vị tính</t>
        </is>
      </c>
      <c r="S1" s="5" t="inlineStr">
        <is>
          <t>Số lượng</t>
        </is>
      </c>
      <c r="T1" s="6" t="inlineStr">
        <is>
          <t>Đơn giá</t>
        </is>
      </c>
      <c r="U1" s="6" t="inlineStr">
        <is>
          <t>Chiết khấu</t>
        </is>
      </c>
      <c r="V1" s="5" t="inlineStr">
        <is>
          <t>Thuế suất</t>
        </is>
      </c>
      <c r="W1" s="6" t="inlineStr">
        <is>
          <t>Thành tiền chưa thuế</t>
        </is>
      </c>
      <c r="X1" s="6" t="inlineStr">
        <is>
          <t>Tiền thuế</t>
        </is>
      </c>
      <c r="Y1" s="5" t="inlineStr">
        <is>
          <t>Tổng tiền CKTM</t>
        </is>
      </c>
      <c r="Z1" s="5" t="inlineStr">
        <is>
          <t>Tổng tiền phí</t>
        </is>
      </c>
      <c r="AA1" s="6" t="inlineStr">
        <is>
          <t>Tổng tiền thanh toán</t>
        </is>
      </c>
      <c r="AB1" s="5" t="inlineStr">
        <is>
          <t>Trạng thái hóa đơn</t>
        </is>
      </c>
      <c r="AC1" s="7" t="inlineStr">
        <is>
          <t>Kết quả kiểm tra hóa đơn</t>
        </is>
      </c>
      <c r="AD1" s="5" t="inlineStr">
        <is>
          <t>url  tra cứu hóa đơn</t>
        </is>
      </c>
      <c r="AE1" s="5" t="inlineStr">
        <is>
          <t>Mã tra cứu</t>
        </is>
      </c>
      <c r="AF1" s="5" t="inlineStr">
        <is>
          <t>Ghi chú 1</t>
        </is>
      </c>
      <c r="AG1" s="5" t="inlineStr">
        <is>
          <t>Hình  thức thanh toán</t>
        </is>
      </c>
      <c r="AH1" s="5" t="inlineStr">
        <is>
          <t>Tính chất</t>
        </is>
      </c>
      <c r="AI1" s="5" t="inlineStr">
        <is>
          <t>Ghi chú 2</t>
        </is>
      </c>
      <c r="AJ1" s="5" t="inlineStr">
        <is>
          <t xml:space="preserve">Số lô </t>
        </is>
      </c>
      <c r="AK1" s="5" t="inlineStr">
        <is>
          <t xml:space="preserve">Hạn dùng </t>
        </is>
      </c>
    </row>
    <row r="2">
      <c r="A2" s="8" t="n">
        <v>1</v>
      </c>
      <c r="B2" s="8" t="inlineStr">
        <is>
          <t>K25TEA</t>
        </is>
      </c>
      <c r="C2" s="8" t="inlineStr">
        <is>
          <t xml:space="preserve"> 2171</t>
        </is>
      </c>
      <c r="D2" s="8" t="inlineStr">
        <is>
          <t>04/01/2025</t>
        </is>
      </c>
      <c r="E2" s="8" t="inlineStr">
        <is>
          <t>04/01/2025</t>
        </is>
      </c>
      <c r="F2" s="8" t="n"/>
      <c r="G2" s="8" t="inlineStr">
        <is>
          <t>04/01/2025</t>
        </is>
      </c>
      <c r="H2" s="8" t="inlineStr">
        <is>
          <t>VND</t>
        </is>
      </c>
      <c r="I2" s="8" t="n">
        <v>1</v>
      </c>
      <c r="J2" s="8" t="inlineStr">
        <is>
          <t>Ngân hàng TMCP Ngoại thương Việt Nam - Chi nhánh Hưng Yên</t>
        </is>
      </c>
      <c r="K2" s="8" t="inlineStr">
        <is>
          <t>0100112437-053</t>
        </is>
      </c>
      <c r="L2" s="8" t="n"/>
      <c r="M2" s="8" t="inlineStr">
        <is>
          <t>CT TNHH TM &amp; SAN XUAT THUC PHAM MINH DUC</t>
        </is>
      </c>
      <c r="N2" s="8" t="inlineStr">
        <is>
          <t>0106374735</t>
        </is>
      </c>
      <c r="O2" s="8" t="n"/>
      <c r="P2" s="8" t="n">
        <v>0</v>
      </c>
      <c r="Q2" s="8" t="inlineStr">
        <is>
          <t>Phí dịch vụ ngân hàng</t>
        </is>
      </c>
      <c r="R2" s="8" t="n"/>
      <c r="S2" s="8" t="n"/>
      <c r="T2" s="9" t="n"/>
      <c r="U2" s="9" t="n"/>
      <c r="V2" s="8" t="n">
        <v>0.1</v>
      </c>
      <c r="W2" s="9" t="n">
        <v>50000</v>
      </c>
      <c r="X2" s="9" t="n">
        <v>5000</v>
      </c>
      <c r="Y2" s="8" t="inlineStr"/>
      <c r="Z2" s="8" t="n">
        <v>0</v>
      </c>
      <c r="AA2" s="9" t="n">
        <v>55000</v>
      </c>
      <c r="AB2" s="8" t="inlineStr">
        <is>
          <t>Hóa đơn mới</t>
        </is>
      </c>
      <c r="AC2" s="8" t="inlineStr">
        <is>
          <t>Tổng cục thuế đã nhận không mã</t>
        </is>
      </c>
      <c r="AD2" s="8">
        <f>HYPERLINK("https://hddt.vnpay.vn/Invoice/Index/
","https://hddt.vnpay.vn/Invoice/Index/
")</f>
        <v/>
      </c>
      <c r="AE2" s="8" t="inlineStr">
        <is>
          <t>Không tìm thấy mã tra cứu trên file XML, vui lòng liên hệ người bán để được cung cấp file PDF gốc.</t>
        </is>
      </c>
      <c r="AF2" s="8" t="inlineStr">
        <is>
          <t xml:space="preserve"> </t>
        </is>
      </c>
      <c r="AG2" s="8" t="n"/>
      <c r="AH2" s="8" t="n"/>
      <c r="AI2" s="8" t="inlineStr">
        <is>
          <t xml:space="preserve"> </t>
        </is>
      </c>
      <c r="AJ2" s="8" t="n"/>
      <c r="AK2" s="8" t="n"/>
    </row>
    <row r="3">
      <c r="A3" s="8" t="n">
        <v>1</v>
      </c>
      <c r="B3" s="8" t="inlineStr">
        <is>
          <t>K25TAR</t>
        </is>
      </c>
      <c r="C3" s="8" t="inlineStr">
        <is>
          <t xml:space="preserve"> 129485</t>
        </is>
      </c>
      <c r="D3" s="8" t="inlineStr">
        <is>
          <t>03/01/2025</t>
        </is>
      </c>
      <c r="E3" s="8" t="inlineStr">
        <is>
          <t>03/01/2025</t>
        </is>
      </c>
      <c r="F3" s="8" t="n"/>
      <c r="G3" s="8" t="inlineStr">
        <is>
          <t>03/01/2025</t>
        </is>
      </c>
      <c r="H3" s="8" t="n"/>
      <c r="I3" s="8" t="n"/>
      <c r="J3" s="8" t="inlineStr">
        <is>
          <t>CÔNG TY ĐIỆN LỰC LONG BIÊN</t>
        </is>
      </c>
      <c r="K3" s="8" t="inlineStr">
        <is>
          <t>0100101114-021</t>
        </is>
      </c>
      <c r="L3" s="8" t="n"/>
      <c r="M3" s="8" t="inlineStr">
        <is>
          <t>Công Ty TNHH Thương Mại &amp; Sản xuất Thực phẩm Minh Đức</t>
        </is>
      </c>
      <c r="N3" s="8" t="inlineStr">
        <is>
          <t>0106374735</t>
        </is>
      </c>
      <c r="O3" s="8" t="n"/>
      <c r="P3" s="8" t="n">
        <v>0</v>
      </c>
      <c r="Q3" s="8" t="inlineStr">
        <is>
          <t>Khác</t>
        </is>
      </c>
      <c r="R3" s="8" t="inlineStr">
        <is>
          <t>kWh</t>
        </is>
      </c>
      <c r="S3" s="8" t="n">
        <v>904</v>
      </c>
      <c r="T3" s="9" t="n"/>
      <c r="U3" s="9" t="n"/>
      <c r="V3" s="8" t="n">
        <v>0.08</v>
      </c>
      <c r="W3" s="9" t="n">
        <v>2745036</v>
      </c>
      <c r="X3" s="9" t="n">
        <v>219603</v>
      </c>
      <c r="Y3" s="8" t="inlineStr"/>
      <c r="Z3" s="8" t="n"/>
      <c r="AA3" s="9" t="n">
        <v>2964639</v>
      </c>
      <c r="AB3" s="8" t="inlineStr">
        <is>
          <t>Hóa đơn mới</t>
        </is>
      </c>
      <c r="AC3" s="8" t="inlineStr">
        <is>
          <t>Tổng cục thuế đã nhận không mã</t>
        </is>
      </c>
      <c r="AD3" s="8">
        <f>HYPERLINK("","")</f>
        <v/>
      </c>
      <c r="AE3" s="8" t="inlineStr">
        <is>
          <t>Không tìm thấy mã tra cứu trên file XML, vui lòng liên hệ người bán để được cung cấp file PDF gốc.</t>
        </is>
      </c>
      <c r="AF3" s="8" t="inlineStr">
        <is>
          <t xml:space="preserve"> </t>
        </is>
      </c>
      <c r="AG3" s="8" t="n"/>
      <c r="AH3" s="8" t="n"/>
      <c r="AI3" s="8" t="inlineStr">
        <is>
          <t xml:space="preserve"> </t>
        </is>
      </c>
      <c r="AJ3" s="8" t="n"/>
      <c r="AK3" s="8" t="n"/>
    </row>
    <row r="4">
      <c r="A4" s="8" t="n">
        <v>1</v>
      </c>
      <c r="B4" s="8" t="inlineStr">
        <is>
          <t>K25TAR</t>
        </is>
      </c>
      <c r="C4" s="8" t="inlineStr">
        <is>
          <t xml:space="preserve"> 125920</t>
        </is>
      </c>
      <c r="D4" s="8" t="inlineStr">
        <is>
          <t>03/01/2025</t>
        </is>
      </c>
      <c r="E4" s="8" t="inlineStr">
        <is>
          <t>03/01/2025</t>
        </is>
      </c>
      <c r="F4" s="8" t="n"/>
      <c r="G4" s="8" t="inlineStr">
        <is>
          <t>03/01/2025</t>
        </is>
      </c>
      <c r="H4" s="8" t="n"/>
      <c r="I4" s="8" t="n"/>
      <c r="J4" s="8" t="inlineStr">
        <is>
          <t>CÔNG TY ĐIỆN LỰC LONG BIÊN</t>
        </is>
      </c>
      <c r="K4" s="8" t="inlineStr">
        <is>
          <t>0100101114-021</t>
        </is>
      </c>
      <c r="L4" s="8" t="n"/>
      <c r="M4" s="8" t="inlineStr">
        <is>
          <t>Công ty TNHH thương mại và sản xuất thực phẩm Minh Đức</t>
        </is>
      </c>
      <c r="N4" s="8" t="inlineStr">
        <is>
          <t>0106374735</t>
        </is>
      </c>
      <c r="O4" s="8" t="n"/>
      <c r="P4" s="8" t="n">
        <v>0</v>
      </c>
      <c r="Q4" s="8" t="inlineStr">
        <is>
          <t>Khác</t>
        </is>
      </c>
      <c r="R4" s="8" t="inlineStr">
        <is>
          <t>kWh</t>
        </is>
      </c>
      <c r="S4" s="8" t="n">
        <v>2818</v>
      </c>
      <c r="T4" s="9" t="n"/>
      <c r="U4" s="9" t="n"/>
      <c r="V4" s="8" t="n">
        <v>0.08</v>
      </c>
      <c r="W4" s="9" t="n">
        <v>6962641</v>
      </c>
      <c r="X4" s="9" t="n">
        <v>557011</v>
      </c>
      <c r="Y4" s="8" t="inlineStr"/>
      <c r="Z4" s="8" t="n"/>
      <c r="AA4" s="9" t="n">
        <v>7519652</v>
      </c>
      <c r="AB4" s="8" t="inlineStr">
        <is>
          <t>Hóa đơn mới</t>
        </is>
      </c>
      <c r="AC4" s="8" t="inlineStr">
        <is>
          <t>Tổng cục thuế đã nhận không mã</t>
        </is>
      </c>
      <c r="AD4" s="8">
        <f>HYPERLINK("","")</f>
        <v/>
      </c>
      <c r="AE4" s="8" t="inlineStr">
        <is>
          <t>Không tìm thấy mã tra cứu trên file XML, vui lòng liên hệ người bán để được cung cấp file PDF gốc.</t>
        </is>
      </c>
      <c r="AF4" s="8" t="inlineStr">
        <is>
          <t xml:space="preserve"> </t>
        </is>
      </c>
      <c r="AG4" s="8" t="n"/>
      <c r="AH4" s="8" t="n"/>
      <c r="AI4" s="8" t="inlineStr">
        <is>
          <t xml:space="preserve"> </t>
        </is>
      </c>
      <c r="AJ4" s="8" t="n"/>
      <c r="AK4" s="8" t="n"/>
    </row>
    <row r="5">
      <c r="A5" s="8" t="n">
        <v>1</v>
      </c>
      <c r="B5" s="8" t="inlineStr">
        <is>
          <t>K25DAA</t>
        </is>
      </c>
      <c r="C5" s="8" t="inlineStr">
        <is>
          <t xml:space="preserve"> 10829401</t>
        </is>
      </c>
      <c r="D5" s="8" t="inlineStr">
        <is>
          <t>02/01/2025</t>
        </is>
      </c>
      <c r="E5" s="8" t="inlineStr">
        <is>
          <t>02/01/2025</t>
        </is>
      </c>
      <c r="F5" s="8" t="n"/>
      <c r="G5" s="8" t="inlineStr">
        <is>
          <t>02/01/2025</t>
        </is>
      </c>
      <c r="H5" s="8" t="inlineStr">
        <is>
          <t>VND</t>
        </is>
      </c>
      <c r="I5" s="8" t="n"/>
      <c r="J5" s="8" t="inlineStr">
        <is>
          <t>Tập đoàn Công nghiệp - Viễn thông Quân đội</t>
        </is>
      </c>
      <c r="K5" s="8" t="inlineStr">
        <is>
          <t>0100109106</t>
        </is>
      </c>
      <c r="L5" s="8" t="n"/>
      <c r="M5" s="8" t="inlineStr">
        <is>
          <t>Công Ty Tnhh Thương Mại Và Sản Xuất Thực Phẩm Minh Đức</t>
        </is>
      </c>
      <c r="N5" s="8" t="inlineStr">
        <is>
          <t>0106374735</t>
        </is>
      </c>
      <c r="O5" s="8" t="n"/>
      <c r="P5" s="8" t="n">
        <v>0</v>
      </c>
      <c r="Q5" s="8" t="n"/>
      <c r="R5" s="8" t="n"/>
      <c r="S5" s="8" t="n"/>
      <c r="T5" s="9" t="n"/>
      <c r="U5" s="9" t="n"/>
      <c r="V5" s="8" t="n">
        <v>0.1</v>
      </c>
      <c r="W5" s="9" t="n">
        <v>181818</v>
      </c>
      <c r="X5" s="9" t="n">
        <v>18182</v>
      </c>
      <c r="Y5" s="8" t="inlineStr"/>
      <c r="Z5" s="8" t="n"/>
      <c r="AA5" s="9" t="n">
        <v>200000</v>
      </c>
      <c r="AB5" s="8" t="inlineStr">
        <is>
          <t>Hóa đơn mới</t>
        </is>
      </c>
      <c r="AC5" s="8" t="inlineStr">
        <is>
          <t>Tổng cục thuế đã nhận không mã</t>
        </is>
      </c>
      <c r="AD5" s="8">
        <f>HYPERLINK("https://vinvoice.viettel.vn/utilities/invoice-search
","https://vinvoice.viettel.vn/utilities/invoice-search
")</f>
        <v/>
      </c>
      <c r="AE5" s="8" t="inlineStr">
        <is>
          <t>Không tìm thấy mã tra cứu trên file XML, vui lòng liên hệ người bán để được cung cấp file PDF gốc.</t>
        </is>
      </c>
      <c r="AF5" s="8" t="inlineStr">
        <is>
          <t xml:space="preserve"> </t>
        </is>
      </c>
      <c r="AG5" s="8" t="n"/>
      <c r="AH5" s="8" t="n"/>
      <c r="AI5" s="8" t="inlineStr">
        <is>
          <t xml:space="preserve"> </t>
        </is>
      </c>
      <c r="AJ5" s="8" t="n"/>
      <c r="AK5" s="8" t="n"/>
    </row>
    <row r="6">
      <c r="A6" s="8" t="n">
        <v>1</v>
      </c>
      <c r="B6" s="8" t="inlineStr">
        <is>
          <t>K25DAA</t>
        </is>
      </c>
      <c r="C6" s="8" t="inlineStr">
        <is>
          <t xml:space="preserve"> 10825914</t>
        </is>
      </c>
      <c r="D6" s="8" t="inlineStr">
        <is>
          <t>02/01/2025</t>
        </is>
      </c>
      <c r="E6" s="8" t="inlineStr">
        <is>
          <t>02/01/2025</t>
        </is>
      </c>
      <c r="F6" s="8" t="n"/>
      <c r="G6" s="8" t="inlineStr">
        <is>
          <t>02/01/2025</t>
        </is>
      </c>
      <c r="H6" s="8" t="inlineStr">
        <is>
          <t>VND</t>
        </is>
      </c>
      <c r="I6" s="8" t="n"/>
      <c r="J6" s="8" t="inlineStr">
        <is>
          <t>Tập đoàn Công nghiệp - Viễn thông Quân đội</t>
        </is>
      </c>
      <c r="K6" s="8" t="inlineStr">
        <is>
          <t>0100109106</t>
        </is>
      </c>
      <c r="L6" s="8" t="n"/>
      <c r="M6" s="8" t="inlineStr">
        <is>
          <t>Công Ty TNHH Thương Mại Và Sản Xuất Thực Phẩm Minh Đức</t>
        </is>
      </c>
      <c r="N6" s="8" t="inlineStr">
        <is>
          <t>0106374735</t>
        </is>
      </c>
      <c r="O6" s="8" t="n"/>
      <c r="P6" s="8" t="n">
        <v>0</v>
      </c>
      <c r="Q6" s="8" t="n"/>
      <c r="R6" s="8" t="n"/>
      <c r="S6" s="8" t="n"/>
      <c r="T6" s="9" t="n"/>
      <c r="U6" s="9" t="n"/>
      <c r="V6" s="8" t="n">
        <v>0.1</v>
      </c>
      <c r="W6" s="9" t="n">
        <v>147273</v>
      </c>
      <c r="X6" s="9" t="n">
        <v>14727</v>
      </c>
      <c r="Y6" s="8" t="inlineStr"/>
      <c r="Z6" s="8" t="n"/>
      <c r="AA6" s="9" t="n">
        <v>162000</v>
      </c>
      <c r="AB6" s="8" t="inlineStr">
        <is>
          <t>Hóa đơn mới</t>
        </is>
      </c>
      <c r="AC6" s="8" t="inlineStr">
        <is>
          <t>Tổng cục thuế đã nhận không mã</t>
        </is>
      </c>
      <c r="AD6" s="8">
        <f>HYPERLINK("https://vinvoice.viettel.vn/utilities/invoice-search
","https://vinvoice.viettel.vn/utilities/invoice-search
")</f>
        <v/>
      </c>
      <c r="AE6" s="8" t="inlineStr">
        <is>
          <t>Không tìm thấy mã tra cứu trên file XML, vui lòng liên hệ người bán để được cung cấp file PDF gốc.</t>
        </is>
      </c>
      <c r="AF6" s="8" t="inlineStr">
        <is>
          <t xml:space="preserve"> </t>
        </is>
      </c>
      <c r="AG6" s="8" t="n"/>
      <c r="AH6" s="8" t="n"/>
      <c r="AI6" s="8" t="inlineStr">
        <is>
          <t xml:space="preserve"> </t>
        </is>
      </c>
      <c r="AJ6" s="8" t="n"/>
      <c r="AK6" s="8" t="n"/>
    </row>
    <row r="7">
      <c r="A7" s="8" t="n">
        <v>1</v>
      </c>
      <c r="B7" s="8" t="inlineStr">
        <is>
          <t>K25DAA</t>
        </is>
      </c>
      <c r="C7" s="8" t="inlineStr">
        <is>
          <t xml:space="preserve"> 10825772</t>
        </is>
      </c>
      <c r="D7" s="8" t="inlineStr">
        <is>
          <t>02/01/2025</t>
        </is>
      </c>
      <c r="E7" s="8" t="inlineStr">
        <is>
          <t>02/01/2025</t>
        </is>
      </c>
      <c r="F7" s="8" t="n"/>
      <c r="G7" s="8" t="inlineStr">
        <is>
          <t>02/01/2025</t>
        </is>
      </c>
      <c r="H7" s="8" t="inlineStr">
        <is>
          <t>VND</t>
        </is>
      </c>
      <c r="I7" s="8" t="n"/>
      <c r="J7" s="8" t="inlineStr">
        <is>
          <t>Tập đoàn Công nghiệp - Viễn thông Quân đội</t>
        </is>
      </c>
      <c r="K7" s="8" t="inlineStr">
        <is>
          <t>0100109106</t>
        </is>
      </c>
      <c r="L7" s="8" t="n"/>
      <c r="M7" s="8" t="inlineStr">
        <is>
          <t>Công Ty TNHH Thương Mại Và Sản Xuất Thực Phẩm Minh Đức</t>
        </is>
      </c>
      <c r="N7" s="8" t="inlineStr">
        <is>
          <t>0106374735</t>
        </is>
      </c>
      <c r="O7" s="8" t="n"/>
      <c r="P7" s="8" t="n">
        <v>0</v>
      </c>
      <c r="Q7" s="8" t="n"/>
      <c r="R7" s="8" t="n"/>
      <c r="S7" s="8" t="n"/>
      <c r="T7" s="9" t="n"/>
      <c r="U7" s="9" t="n"/>
      <c r="V7" s="8" t="n">
        <v>0.1</v>
      </c>
      <c r="W7" s="9" t="n">
        <v>158505</v>
      </c>
      <c r="X7" s="9" t="n">
        <v>15851</v>
      </c>
      <c r="Y7" s="8" t="inlineStr"/>
      <c r="Z7" s="8" t="n"/>
      <c r="AA7" s="9" t="n">
        <v>174356</v>
      </c>
      <c r="AB7" s="8" t="inlineStr">
        <is>
          <t>Hóa đơn mới</t>
        </is>
      </c>
      <c r="AC7" s="8" t="inlineStr">
        <is>
          <t>Tổng cục thuế đã nhận không mã</t>
        </is>
      </c>
      <c r="AD7" s="8">
        <f>HYPERLINK("https://vinvoice.viettel.vn/utilities/invoice-search
","https://vinvoice.viettel.vn/utilities/invoice-search
")</f>
        <v/>
      </c>
      <c r="AE7" s="8" t="inlineStr">
        <is>
          <t>Không tìm thấy mã tra cứu trên file XML, vui lòng liên hệ người bán để được cung cấp file PDF gốc.</t>
        </is>
      </c>
      <c r="AF7" s="8" t="inlineStr">
        <is>
          <t xml:space="preserve"> </t>
        </is>
      </c>
      <c r="AG7" s="8" t="n"/>
      <c r="AH7" s="8" t="n"/>
      <c r="AI7" s="8" t="inlineStr">
        <is>
          <t xml:space="preserve"> </t>
        </is>
      </c>
      <c r="AJ7" s="8" t="n"/>
      <c r="AK7" s="8" t="n"/>
    </row>
    <row r="8">
      <c r="A8" s="8" t="n">
        <v>1</v>
      </c>
      <c r="B8" s="8" t="inlineStr">
        <is>
          <t>K25DAA</t>
        </is>
      </c>
      <c r="C8" s="8" t="inlineStr">
        <is>
          <t xml:space="preserve"> 10817933</t>
        </is>
      </c>
      <c r="D8" s="8" t="inlineStr">
        <is>
          <t>02/01/2025</t>
        </is>
      </c>
      <c r="E8" s="8" t="inlineStr">
        <is>
          <t>02/01/2025</t>
        </is>
      </c>
      <c r="F8" s="8" t="n"/>
      <c r="G8" s="8" t="inlineStr">
        <is>
          <t>02/01/2025</t>
        </is>
      </c>
      <c r="H8" s="8" t="inlineStr">
        <is>
          <t>VND</t>
        </is>
      </c>
      <c r="I8" s="8" t="n"/>
      <c r="J8" s="8" t="inlineStr">
        <is>
          <t>Tập đoàn Công nghiệp - Viễn thông Quân đội</t>
        </is>
      </c>
      <c r="K8" s="8" t="inlineStr">
        <is>
          <t>0100109106</t>
        </is>
      </c>
      <c r="L8" s="8" t="n"/>
      <c r="M8" s="8" t="inlineStr">
        <is>
          <t>Công Ty Tnhh Thương Mại Và Sản Xuất Thực Phẩm Minh Đức</t>
        </is>
      </c>
      <c r="N8" s="8" t="inlineStr">
        <is>
          <t>0106374735</t>
        </is>
      </c>
      <c r="O8" s="8" t="n"/>
      <c r="P8" s="8" t="n">
        <v>0</v>
      </c>
      <c r="Q8" s="8" t="n"/>
      <c r="R8" s="8" t="n"/>
      <c r="S8" s="8" t="n"/>
      <c r="T8" s="9" t="n"/>
      <c r="U8" s="9" t="n"/>
      <c r="V8" s="8" t="n">
        <v>0.1</v>
      </c>
      <c r="W8" s="9" t="n">
        <v>203182</v>
      </c>
      <c r="X8" s="9" t="n">
        <v>20318</v>
      </c>
      <c r="Y8" s="8" t="inlineStr"/>
      <c r="Z8" s="8" t="n"/>
      <c r="AA8" s="9" t="n">
        <v>223500</v>
      </c>
      <c r="AB8" s="8" t="inlineStr">
        <is>
          <t>Hóa đơn mới</t>
        </is>
      </c>
      <c r="AC8" s="8" t="inlineStr">
        <is>
          <t>Tổng cục thuế đã nhận không mã</t>
        </is>
      </c>
      <c r="AD8" s="8">
        <f>HYPERLINK("https://vinvoice.viettel.vn/utilities/invoice-search
","https://vinvoice.viettel.vn/utilities/invoice-search
")</f>
        <v/>
      </c>
      <c r="AE8" s="8" t="inlineStr">
        <is>
          <t>Không tìm thấy mã tra cứu trên file XML, vui lòng liên hệ người bán để được cung cấp file PDF gốc.</t>
        </is>
      </c>
      <c r="AF8" s="8" t="inlineStr">
        <is>
          <t xml:space="preserve"> </t>
        </is>
      </c>
      <c r="AG8" s="8" t="n"/>
      <c r="AH8" s="8" t="n"/>
      <c r="AI8" s="8" t="inlineStr">
        <is>
          <t xml:space="preserve"> </t>
        </is>
      </c>
      <c r="AJ8" s="8" t="n"/>
      <c r="AK8" s="8" t="n"/>
    </row>
    <row r="9">
      <c r="A9" s="8" t="n">
        <v>1</v>
      </c>
      <c r="B9" s="8" t="inlineStr">
        <is>
          <t>K25DAA</t>
        </is>
      </c>
      <c r="C9" s="8" t="inlineStr">
        <is>
          <t xml:space="preserve"> 10801607</t>
        </is>
      </c>
      <c r="D9" s="8" t="inlineStr">
        <is>
          <t>02/01/2025</t>
        </is>
      </c>
      <c r="E9" s="8" t="inlineStr">
        <is>
          <t>02/01/2025</t>
        </is>
      </c>
      <c r="F9" s="8" t="n"/>
      <c r="G9" s="8" t="inlineStr">
        <is>
          <t>02/01/2025</t>
        </is>
      </c>
      <c r="H9" s="8" t="inlineStr">
        <is>
          <t>VND</t>
        </is>
      </c>
      <c r="I9" s="8" t="n"/>
      <c r="J9" s="8" t="inlineStr">
        <is>
          <t>Tập đoàn Công nghiệp - Viễn thông Quân đội</t>
        </is>
      </c>
      <c r="K9" s="8" t="inlineStr">
        <is>
          <t>0100109106</t>
        </is>
      </c>
      <c r="L9" s="8" t="n"/>
      <c r="M9" s="8" t="inlineStr">
        <is>
          <t>Công Ty TNHH Thương Mại Và Sản Xuất Thực Phẩm Minh Đức</t>
        </is>
      </c>
      <c r="N9" s="8" t="inlineStr">
        <is>
          <t>0106374735</t>
        </is>
      </c>
      <c r="O9" s="8" t="n"/>
      <c r="P9" s="8" t="n">
        <v>0</v>
      </c>
      <c r="Q9" s="8" t="n"/>
      <c r="R9" s="8" t="n"/>
      <c r="S9" s="8" t="n"/>
      <c r="T9" s="9" t="n"/>
      <c r="U9" s="9" t="n"/>
      <c r="V9" s="8" t="n">
        <v>0.1</v>
      </c>
      <c r="W9" s="9" t="n">
        <v>374217</v>
      </c>
      <c r="X9" s="9" t="n">
        <v>37422</v>
      </c>
      <c r="Y9" s="8" t="inlineStr"/>
      <c r="Z9" s="8" t="n"/>
      <c r="AA9" s="9" t="n">
        <v>411639</v>
      </c>
      <c r="AB9" s="8" t="inlineStr">
        <is>
          <t>Hóa đơn mới</t>
        </is>
      </c>
      <c r="AC9" s="8" t="inlineStr">
        <is>
          <t>Tổng cục thuế đã nhận không mã</t>
        </is>
      </c>
      <c r="AD9" s="8">
        <f>HYPERLINK("https://vinvoice.viettel.vn/utilities/invoice-search
","https://vinvoice.viettel.vn/utilities/invoice-search
")</f>
        <v/>
      </c>
      <c r="AE9" s="8" t="inlineStr">
        <is>
          <t>Không tìm thấy mã tra cứu trên file XML, vui lòng liên hệ người bán để được cung cấp file PDF gốc.</t>
        </is>
      </c>
      <c r="AF9" s="8" t="inlineStr">
        <is>
          <t xml:space="preserve"> </t>
        </is>
      </c>
      <c r="AG9" s="8" t="n"/>
      <c r="AH9" s="8" t="n"/>
      <c r="AI9" s="8" t="inlineStr">
        <is>
          <t xml:space="preserve"> </t>
        </is>
      </c>
      <c r="AJ9" s="8" t="n"/>
      <c r="AK9" s="8" t="n"/>
    </row>
    <row r="10">
      <c r="A10" s="8" t="n">
        <v>1</v>
      </c>
      <c r="B10" s="8" t="inlineStr">
        <is>
          <t>K25DAA</t>
        </is>
      </c>
      <c r="C10" s="8" t="inlineStr">
        <is>
          <t xml:space="preserve"> 10800251</t>
        </is>
      </c>
      <c r="D10" s="8" t="inlineStr">
        <is>
          <t>02/01/2025</t>
        </is>
      </c>
      <c r="E10" s="8" t="inlineStr">
        <is>
          <t>02/01/2025</t>
        </is>
      </c>
      <c r="F10" s="8" t="n"/>
      <c r="G10" s="8" t="inlineStr">
        <is>
          <t>02/01/2025</t>
        </is>
      </c>
      <c r="H10" s="8" t="inlineStr">
        <is>
          <t>VND</t>
        </is>
      </c>
      <c r="I10" s="8" t="n"/>
      <c r="J10" s="8" t="inlineStr">
        <is>
          <t>Tập đoàn Công nghiệp - Viễn thông Quân đội</t>
        </is>
      </c>
      <c r="K10" s="8" t="inlineStr">
        <is>
          <t>0100109106</t>
        </is>
      </c>
      <c r="L10" s="8" t="n"/>
      <c r="M10" s="8" t="inlineStr">
        <is>
          <t>Công Ty Tnhh Thương Mại Và Sản Xuất Thực Phẩm Minh Đức</t>
        </is>
      </c>
      <c r="N10" s="8" t="inlineStr">
        <is>
          <t>0106374735</t>
        </is>
      </c>
      <c r="O10" s="8" t="n"/>
      <c r="P10" s="8" t="n">
        <v>0</v>
      </c>
      <c r="Q10" s="8" t="n"/>
      <c r="R10" s="8" t="n"/>
      <c r="S10" s="8" t="n"/>
      <c r="T10" s="9" t="n"/>
      <c r="U10" s="9" t="n"/>
      <c r="V10" s="8" t="n">
        <v>0.1</v>
      </c>
      <c r="W10" s="9" t="n">
        <v>107661</v>
      </c>
      <c r="X10" s="9" t="n">
        <v>10766</v>
      </c>
      <c r="Y10" s="8" t="inlineStr"/>
      <c r="Z10" s="8" t="n"/>
      <c r="AA10" s="9" t="n">
        <v>118427</v>
      </c>
      <c r="AB10" s="8" t="inlineStr">
        <is>
          <t>Hóa đơn mới</t>
        </is>
      </c>
      <c r="AC10" s="8" t="inlineStr">
        <is>
          <t>Tổng cục thuế đã nhận không mã</t>
        </is>
      </c>
      <c r="AD10" s="8">
        <f>HYPERLINK("https://vinvoice.viettel.vn/utilities/invoice-search
","https://vinvoice.viettel.vn/utilities/invoice-search
")</f>
        <v/>
      </c>
      <c r="AE10" s="8" t="inlineStr">
        <is>
          <t>Không tìm thấy mã tra cứu trên file XML, vui lòng liên hệ người bán để được cung cấp file PDF gốc.</t>
        </is>
      </c>
      <c r="AF10" s="8" t="inlineStr">
        <is>
          <t xml:space="preserve"> </t>
        </is>
      </c>
      <c r="AG10" s="8" t="n"/>
      <c r="AH10" s="8" t="n"/>
      <c r="AI10" s="8" t="inlineStr">
        <is>
          <t xml:space="preserve"> </t>
        </is>
      </c>
      <c r="AJ10" s="8" t="n"/>
      <c r="AK10" s="8" t="n"/>
    </row>
    <row r="11">
      <c r="A11" s="8" t="n">
        <v>1</v>
      </c>
      <c r="B11" s="8" t="inlineStr">
        <is>
          <t>K25DAA</t>
        </is>
      </c>
      <c r="C11" s="8" t="inlineStr">
        <is>
          <t xml:space="preserve"> 10793388</t>
        </is>
      </c>
      <c r="D11" s="8" t="inlineStr">
        <is>
          <t>02/01/2025</t>
        </is>
      </c>
      <c r="E11" s="8" t="inlineStr">
        <is>
          <t>02/01/2025</t>
        </is>
      </c>
      <c r="F11" s="8" t="n"/>
      <c r="G11" s="8" t="inlineStr">
        <is>
          <t>02/01/2025</t>
        </is>
      </c>
      <c r="H11" s="8" t="inlineStr">
        <is>
          <t>VND</t>
        </is>
      </c>
      <c r="I11" s="8" t="n"/>
      <c r="J11" s="8" t="inlineStr">
        <is>
          <t>Tập đoàn Công nghiệp - Viễn thông Quân đội</t>
        </is>
      </c>
      <c r="K11" s="8" t="inlineStr">
        <is>
          <t>0100109106</t>
        </is>
      </c>
      <c r="L11" s="8" t="n"/>
      <c r="M11" s="8" t="inlineStr">
        <is>
          <t>Công Ty Tnhh Thương Mại Và Sản Xuất Thực Phẩm Minh Đức</t>
        </is>
      </c>
      <c r="N11" s="8" t="inlineStr">
        <is>
          <t>0106374735</t>
        </is>
      </c>
      <c r="O11" s="8" t="n"/>
      <c r="P11" s="8" t="n">
        <v>0</v>
      </c>
      <c r="Q11" s="8" t="n"/>
      <c r="R11" s="8" t="n"/>
      <c r="S11" s="8" t="n"/>
      <c r="T11" s="9" t="n"/>
      <c r="U11" s="9" t="n"/>
      <c r="V11" s="8" t="n">
        <v>0.1</v>
      </c>
      <c r="W11" s="9" t="n">
        <v>449545</v>
      </c>
      <c r="X11" s="9" t="n">
        <v>44955</v>
      </c>
      <c r="Y11" s="8" t="inlineStr"/>
      <c r="Z11" s="8" t="n"/>
      <c r="AA11" s="9" t="n">
        <v>494500</v>
      </c>
      <c r="AB11" s="8" t="inlineStr">
        <is>
          <t>Hóa đơn mới</t>
        </is>
      </c>
      <c r="AC11" s="8" t="inlineStr">
        <is>
          <t>Tổng cục thuế đã nhận không mã</t>
        </is>
      </c>
      <c r="AD11" s="8">
        <f>HYPERLINK("https://vinvoice.viettel.vn/utilities/invoice-search
","https://vinvoice.viettel.vn/utilities/invoice-search
")</f>
        <v/>
      </c>
      <c r="AE11" s="8" t="inlineStr">
        <is>
          <t>Không tìm thấy mã tra cứu trên file XML, vui lòng liên hệ người bán để được cung cấp file PDF gốc.</t>
        </is>
      </c>
      <c r="AF11" s="8" t="inlineStr">
        <is>
          <t xml:space="preserve"> </t>
        </is>
      </c>
      <c r="AG11" s="8" t="n"/>
      <c r="AH11" s="8" t="n"/>
      <c r="AI11" s="8" t="inlineStr">
        <is>
          <t xml:space="preserve"> </t>
        </is>
      </c>
      <c r="AJ11" s="8" t="n"/>
      <c r="AK11" s="8" t="n"/>
    </row>
    <row r="12">
      <c r="A12" s="8" t="n">
        <v>1</v>
      </c>
      <c r="B12" s="8" t="inlineStr">
        <is>
          <t>K25DAA</t>
        </is>
      </c>
      <c r="C12" s="8" t="inlineStr">
        <is>
          <t xml:space="preserve"> 10791451</t>
        </is>
      </c>
      <c r="D12" s="8" t="inlineStr">
        <is>
          <t>02/01/2025</t>
        </is>
      </c>
      <c r="E12" s="8" t="inlineStr">
        <is>
          <t>02/01/2025</t>
        </is>
      </c>
      <c r="F12" s="8" t="n"/>
      <c r="G12" s="8" t="inlineStr">
        <is>
          <t>02/01/2025</t>
        </is>
      </c>
      <c r="H12" s="8" t="inlineStr">
        <is>
          <t>VND</t>
        </is>
      </c>
      <c r="I12" s="8" t="n"/>
      <c r="J12" s="8" t="inlineStr">
        <is>
          <t>Tập đoàn Công nghiệp - Viễn thông Quân đội</t>
        </is>
      </c>
      <c r="K12" s="8" t="inlineStr">
        <is>
          <t>0100109106</t>
        </is>
      </c>
      <c r="L12" s="8" t="n"/>
      <c r="M12" s="8" t="inlineStr">
        <is>
          <t>Công Ty Tnhh Thương Mại Và Sản Xuất Thực Phẩm Minh Đức</t>
        </is>
      </c>
      <c r="N12" s="8" t="inlineStr">
        <is>
          <t>0106374735</t>
        </is>
      </c>
      <c r="O12" s="8" t="n"/>
      <c r="P12" s="8" t="n">
        <v>0</v>
      </c>
      <c r="Q12" s="8" t="n"/>
      <c r="R12" s="8" t="n"/>
      <c r="S12" s="8" t="n"/>
      <c r="T12" s="9" t="n"/>
      <c r="U12" s="9" t="n"/>
      <c r="V12" s="8" t="n">
        <v>0.1</v>
      </c>
      <c r="W12" s="9" t="n">
        <v>314444</v>
      </c>
      <c r="X12" s="9" t="n">
        <v>31444</v>
      </c>
      <c r="Y12" s="8" t="inlineStr"/>
      <c r="Z12" s="8" t="n"/>
      <c r="AA12" s="9" t="n">
        <v>345888</v>
      </c>
      <c r="AB12" s="8" t="inlineStr">
        <is>
          <t>Hóa đơn mới</t>
        </is>
      </c>
      <c r="AC12" s="8" t="inlineStr">
        <is>
          <t>Tổng cục thuế đã nhận không mã</t>
        </is>
      </c>
      <c r="AD12" s="8">
        <f>HYPERLINK("https://vinvoice.viettel.vn/utilities/invoice-search
","https://vinvoice.viettel.vn/utilities/invoice-search
")</f>
        <v/>
      </c>
      <c r="AE12" s="8" t="inlineStr">
        <is>
          <t>Không tìm thấy mã tra cứu trên file XML, vui lòng liên hệ người bán để được cung cấp file PDF gốc.</t>
        </is>
      </c>
      <c r="AF12" s="8" t="inlineStr">
        <is>
          <t xml:space="preserve"> </t>
        </is>
      </c>
      <c r="AG12" s="8" t="n"/>
      <c r="AH12" s="8" t="n"/>
      <c r="AI12" s="8" t="inlineStr">
        <is>
          <t xml:space="preserve"> </t>
        </is>
      </c>
      <c r="AJ12" s="8" t="n"/>
      <c r="AK12" s="8" t="n"/>
    </row>
    <row r="13">
      <c r="A13" s="8" t="n">
        <v>1</v>
      </c>
      <c r="B13" s="8" t="inlineStr">
        <is>
          <t>K25DAA</t>
        </is>
      </c>
      <c r="C13" s="8" t="inlineStr">
        <is>
          <t xml:space="preserve"> 10787824</t>
        </is>
      </c>
      <c r="D13" s="8" t="inlineStr">
        <is>
          <t>02/01/2025</t>
        </is>
      </c>
      <c r="E13" s="8" t="inlineStr">
        <is>
          <t>02/01/2025</t>
        </is>
      </c>
      <c r="F13" s="8" t="n"/>
      <c r="G13" s="8" t="inlineStr">
        <is>
          <t>02/01/2025</t>
        </is>
      </c>
      <c r="H13" s="8" t="inlineStr">
        <is>
          <t>VND</t>
        </is>
      </c>
      <c r="I13" s="8" t="n"/>
      <c r="J13" s="8" t="inlineStr">
        <is>
          <t>Tập đoàn Công nghiệp - Viễn thông Quân đội</t>
        </is>
      </c>
      <c r="K13" s="8" t="inlineStr">
        <is>
          <t>0100109106</t>
        </is>
      </c>
      <c r="L13" s="8" t="n"/>
      <c r="M13" s="8" t="inlineStr">
        <is>
          <t>Công Ty Tnhh Thương Mại Và Sản Xuất Thực Phẩm Minh Đức</t>
        </is>
      </c>
      <c r="N13" s="8" t="inlineStr">
        <is>
          <t>0106374735</t>
        </is>
      </c>
      <c r="O13" s="8" t="n"/>
      <c r="P13" s="8" t="n">
        <v>0</v>
      </c>
      <c r="Q13" s="8" t="n"/>
      <c r="R13" s="8" t="n"/>
      <c r="S13" s="8" t="n"/>
      <c r="T13" s="9" t="n"/>
      <c r="U13" s="9" t="n"/>
      <c r="V13" s="8" t="n">
        <v>0.1</v>
      </c>
      <c r="W13" s="9" t="n">
        <v>187136</v>
      </c>
      <c r="X13" s="9" t="n">
        <v>18714</v>
      </c>
      <c r="Y13" s="8" t="inlineStr"/>
      <c r="Z13" s="8" t="n"/>
      <c r="AA13" s="9" t="n">
        <v>205850</v>
      </c>
      <c r="AB13" s="8" t="inlineStr">
        <is>
          <t>Hóa đơn mới</t>
        </is>
      </c>
      <c r="AC13" s="8" t="inlineStr">
        <is>
          <t>Tổng cục thuế đã nhận không mã</t>
        </is>
      </c>
      <c r="AD13" s="8">
        <f>HYPERLINK("https://vinvoice.viettel.vn/utilities/invoice-search
","https://vinvoice.viettel.vn/utilities/invoice-search
")</f>
        <v/>
      </c>
      <c r="AE13" s="8" t="inlineStr">
        <is>
          <t>Không tìm thấy mã tra cứu trên file XML, vui lòng liên hệ người bán để được cung cấp file PDF gốc.</t>
        </is>
      </c>
      <c r="AF13" s="8" t="inlineStr">
        <is>
          <t xml:space="preserve"> </t>
        </is>
      </c>
      <c r="AG13" s="8" t="n"/>
      <c r="AH13" s="8" t="n"/>
      <c r="AI13" s="8" t="inlineStr">
        <is>
          <t xml:space="preserve"> </t>
        </is>
      </c>
      <c r="AJ13" s="8" t="n"/>
      <c r="AK13" s="8" t="n"/>
    </row>
    <row r="14">
      <c r="A14" s="8" t="n">
        <v>1</v>
      </c>
      <c r="B14" s="8" t="inlineStr">
        <is>
          <t>K25DAA</t>
        </is>
      </c>
      <c r="C14" s="8" t="inlineStr">
        <is>
          <t xml:space="preserve"> 10776966</t>
        </is>
      </c>
      <c r="D14" s="8" t="inlineStr">
        <is>
          <t>02/01/2025</t>
        </is>
      </c>
      <c r="E14" s="8" t="inlineStr">
        <is>
          <t>02/01/2025</t>
        </is>
      </c>
      <c r="F14" s="8" t="n"/>
      <c r="G14" s="8" t="inlineStr">
        <is>
          <t>02/01/2025</t>
        </is>
      </c>
      <c r="H14" s="8" t="inlineStr">
        <is>
          <t>VND</t>
        </is>
      </c>
      <c r="I14" s="8" t="n"/>
      <c r="J14" s="8" t="inlineStr">
        <is>
          <t>Tập đoàn Công nghiệp - Viễn thông Quân đội</t>
        </is>
      </c>
      <c r="K14" s="8" t="inlineStr">
        <is>
          <t>0100109106</t>
        </is>
      </c>
      <c r="L14" s="8" t="n"/>
      <c r="M14" s="8" t="inlineStr">
        <is>
          <t>Công Ty Tnhh Thương Mại Và Sản Xuất Thực Phẩm Minh Đức</t>
        </is>
      </c>
      <c r="N14" s="8" t="inlineStr">
        <is>
          <t>0106374735</t>
        </is>
      </c>
      <c r="O14" s="8" t="n"/>
      <c r="P14" s="8" t="n">
        <v>0</v>
      </c>
      <c r="Q14" s="8" t="n"/>
      <c r="R14" s="8" t="n"/>
      <c r="S14" s="8" t="n"/>
      <c r="T14" s="9" t="n"/>
      <c r="U14" s="9" t="n"/>
      <c r="V14" s="8" t="n">
        <v>0.1</v>
      </c>
      <c r="W14" s="9" t="n">
        <v>217499</v>
      </c>
      <c r="X14" s="9" t="n">
        <v>21750</v>
      </c>
      <c r="Y14" s="8" t="inlineStr"/>
      <c r="Z14" s="8" t="n"/>
      <c r="AA14" s="9" t="n">
        <v>239249</v>
      </c>
      <c r="AB14" s="8" t="inlineStr">
        <is>
          <t>Hóa đơn mới</t>
        </is>
      </c>
      <c r="AC14" s="8" t="inlineStr">
        <is>
          <t>Tổng cục thuế đã nhận không mã</t>
        </is>
      </c>
      <c r="AD14" s="8">
        <f>HYPERLINK("https://vinvoice.viettel.vn/utilities/invoice-search
","https://vinvoice.viettel.vn/utilities/invoice-search
")</f>
        <v/>
      </c>
      <c r="AE14" s="8" t="inlineStr">
        <is>
          <t>Không tìm thấy mã tra cứu trên file XML, vui lòng liên hệ người bán để được cung cấp file PDF gốc.</t>
        </is>
      </c>
      <c r="AF14" s="8" t="inlineStr">
        <is>
          <t xml:space="preserve"> </t>
        </is>
      </c>
      <c r="AG14" s="8" t="n"/>
      <c r="AH14" s="8" t="n"/>
      <c r="AI14" s="8" t="inlineStr">
        <is>
          <t xml:space="preserve"> </t>
        </is>
      </c>
      <c r="AJ14" s="8" t="n"/>
      <c r="AK14" s="8" t="n"/>
    </row>
    <row r="15">
      <c r="A15" s="8" t="n">
        <v>1</v>
      </c>
      <c r="B15" s="8" t="inlineStr">
        <is>
          <t>K25DAA</t>
        </is>
      </c>
      <c r="C15" s="8" t="inlineStr">
        <is>
          <t xml:space="preserve"> 10776558</t>
        </is>
      </c>
      <c r="D15" s="8" t="inlineStr">
        <is>
          <t>02/01/2025</t>
        </is>
      </c>
      <c r="E15" s="8" t="inlineStr">
        <is>
          <t>02/01/2025</t>
        </is>
      </c>
      <c r="F15" s="8" t="n"/>
      <c r="G15" s="8" t="inlineStr">
        <is>
          <t>02/01/2025</t>
        </is>
      </c>
      <c r="H15" s="8" t="inlineStr">
        <is>
          <t>VND</t>
        </is>
      </c>
      <c r="I15" s="8" t="n"/>
      <c r="J15" s="8" t="inlineStr">
        <is>
          <t>Tập đoàn Công nghiệp - Viễn thông Quân đội</t>
        </is>
      </c>
      <c r="K15" s="8" t="inlineStr">
        <is>
          <t>0100109106</t>
        </is>
      </c>
      <c r="L15" s="8" t="n"/>
      <c r="M15" s="8" t="inlineStr">
        <is>
          <t>Công Ty TNHH Thương Mại Và Sản Xuất Thực Phẩm Minh Đức</t>
        </is>
      </c>
      <c r="N15" s="8" t="inlineStr">
        <is>
          <t>0106374735</t>
        </is>
      </c>
      <c r="O15" s="8" t="n"/>
      <c r="P15" s="8" t="n">
        <v>0</v>
      </c>
      <c r="Q15" s="8" t="n"/>
      <c r="R15" s="8" t="n"/>
      <c r="S15" s="8" t="n"/>
      <c r="T15" s="9" t="n"/>
      <c r="U15" s="9" t="n"/>
      <c r="V15" s="8" t="n">
        <v>0.1</v>
      </c>
      <c r="W15" s="9" t="n">
        <v>145455</v>
      </c>
      <c r="X15" s="9" t="n">
        <v>14545</v>
      </c>
      <c r="Y15" s="8" t="inlineStr"/>
      <c r="Z15" s="8" t="n"/>
      <c r="AA15" s="9" t="n">
        <v>160000</v>
      </c>
      <c r="AB15" s="8" t="inlineStr">
        <is>
          <t>Hóa đơn mới</t>
        </is>
      </c>
      <c r="AC15" s="8" t="inlineStr">
        <is>
          <t>Tổng cục thuế đã nhận không mã</t>
        </is>
      </c>
      <c r="AD15" s="8">
        <f>HYPERLINK("https://vinvoice.viettel.vn/utilities/invoice-search
","https://vinvoice.viettel.vn/utilities/invoice-search
")</f>
        <v/>
      </c>
      <c r="AE15" s="8" t="inlineStr">
        <is>
          <t>Không tìm thấy mã tra cứu trên file XML, vui lòng liên hệ người bán để được cung cấp file PDF gốc.</t>
        </is>
      </c>
      <c r="AF15" s="8" t="inlineStr">
        <is>
          <t xml:space="preserve"> </t>
        </is>
      </c>
      <c r="AG15" s="8" t="n"/>
      <c r="AH15" s="8" t="n"/>
      <c r="AI15" s="8" t="inlineStr">
        <is>
          <t xml:space="preserve"> </t>
        </is>
      </c>
      <c r="AJ15" s="8" t="n"/>
      <c r="AK15" s="8" t="n"/>
    </row>
    <row r="16">
      <c r="A16" s="8" t="n">
        <v>1</v>
      </c>
      <c r="B16" s="8" t="inlineStr">
        <is>
          <t>K25DAA</t>
        </is>
      </c>
      <c r="C16" s="8" t="inlineStr">
        <is>
          <t xml:space="preserve"> 10763899</t>
        </is>
      </c>
      <c r="D16" s="8" t="inlineStr">
        <is>
          <t>02/01/2025</t>
        </is>
      </c>
      <c r="E16" s="8" t="inlineStr">
        <is>
          <t>02/01/2025</t>
        </is>
      </c>
      <c r="F16" s="8" t="n"/>
      <c r="G16" s="8" t="inlineStr">
        <is>
          <t>02/01/2025</t>
        </is>
      </c>
      <c r="H16" s="8" t="inlineStr">
        <is>
          <t>VND</t>
        </is>
      </c>
      <c r="I16" s="8" t="n"/>
      <c r="J16" s="8" t="inlineStr">
        <is>
          <t>Tập đoàn Công nghiệp - Viễn thông Quân đội</t>
        </is>
      </c>
      <c r="K16" s="8" t="inlineStr">
        <is>
          <t>0100109106</t>
        </is>
      </c>
      <c r="L16" s="8" t="n"/>
      <c r="M16" s="8" t="inlineStr">
        <is>
          <t>Công Ty TNHH Thương Mại Và Sản Xuất Thực Phẩm Minh Đức</t>
        </is>
      </c>
      <c r="N16" s="8" t="inlineStr">
        <is>
          <t>0106374735</t>
        </is>
      </c>
      <c r="O16" s="8" t="n"/>
      <c r="P16" s="8" t="n">
        <v>0</v>
      </c>
      <c r="Q16" s="8" t="n"/>
      <c r="R16" s="8" t="n"/>
      <c r="S16" s="8" t="n"/>
      <c r="T16" s="9" t="n"/>
      <c r="U16" s="9" t="n"/>
      <c r="V16" s="8" t="n">
        <v>0.1</v>
      </c>
      <c r="W16" s="9" t="n">
        <v>136364</v>
      </c>
      <c r="X16" s="9" t="n">
        <v>13636</v>
      </c>
      <c r="Y16" s="8" t="inlineStr"/>
      <c r="Z16" s="8" t="n"/>
      <c r="AA16" s="9" t="n">
        <v>150000</v>
      </c>
      <c r="AB16" s="8" t="inlineStr">
        <is>
          <t>Hóa đơn mới</t>
        </is>
      </c>
      <c r="AC16" s="8" t="inlineStr">
        <is>
          <t>Tổng cục thuế đã nhận không mã</t>
        </is>
      </c>
      <c r="AD16" s="8">
        <f>HYPERLINK("https://vinvoice.viettel.vn/utilities/invoice-search
","https://vinvoice.viettel.vn/utilities/invoice-search
")</f>
        <v/>
      </c>
      <c r="AE16" s="8" t="inlineStr">
        <is>
          <t>Không tìm thấy mã tra cứu trên file XML, vui lòng liên hệ người bán để được cung cấp file PDF gốc.</t>
        </is>
      </c>
      <c r="AF16" s="8" t="inlineStr">
        <is>
          <t xml:space="preserve"> </t>
        </is>
      </c>
      <c r="AG16" s="8" t="n"/>
      <c r="AH16" s="8" t="n"/>
      <c r="AI16" s="8" t="inlineStr">
        <is>
          <t xml:space="preserve"> </t>
        </is>
      </c>
      <c r="AJ16" s="8" t="n"/>
      <c r="AK16" s="8" t="n"/>
    </row>
    <row r="17">
      <c r="A17" s="8" t="n">
        <v>1</v>
      </c>
      <c r="B17" s="8" t="inlineStr">
        <is>
          <t>K25TPC</t>
        </is>
      </c>
      <c r="C17" s="8" t="inlineStr">
        <is>
          <t xml:space="preserve"> 47949</t>
        </is>
      </c>
      <c r="D17" s="8" t="inlineStr">
        <is>
          <t>02/01/2025</t>
        </is>
      </c>
      <c r="E17" s="8" t="inlineStr">
        <is>
          <t>02/01/2025</t>
        </is>
      </c>
      <c r="F17" s="8" t="n"/>
      <c r="G17" s="8" t="inlineStr">
        <is>
          <t>02/01/2025</t>
        </is>
      </c>
      <c r="H17" s="8" t="n"/>
      <c r="I17" s="8" t="n"/>
      <c r="J17" s="8" t="inlineStr">
        <is>
          <t>CÔNG TY ĐIỆN LỰC HƯNG YÊN - CHI NHÁNH TỔNG CÔNG TY ĐIỆN LỰC MIỀN BẮC</t>
        </is>
      </c>
      <c r="K17" s="8" t="inlineStr">
        <is>
          <t>0100100417-025</t>
        </is>
      </c>
      <c r="L17" s="8" t="n"/>
      <c r="M17" s="8" t="inlineStr">
        <is>
          <t>Công ty TNHH thương mại và sản xuất thực phẩm Minh Đức</t>
        </is>
      </c>
      <c r="N17" s="8" t="inlineStr">
        <is>
          <t>0106374735</t>
        </is>
      </c>
      <c r="O17" s="8" t="n"/>
      <c r="P17" s="8" t="n">
        <v>0</v>
      </c>
      <c r="Q17" s="8" t="inlineStr">
        <is>
          <t>Khác</t>
        </is>
      </c>
      <c r="R17" s="8" t="inlineStr">
        <is>
          <t>kWh</t>
        </is>
      </c>
      <c r="S17" s="8" t="n">
        <v>34232</v>
      </c>
      <c r="T17" s="9" t="n"/>
      <c r="U17" s="9" t="n"/>
      <c r="V17" s="8" t="n">
        <v>0.08</v>
      </c>
      <c r="W17" s="9" t="n">
        <v>75572516</v>
      </c>
      <c r="X17" s="9" t="n">
        <v>6045801</v>
      </c>
      <c r="Y17" s="8" t="inlineStr"/>
      <c r="Z17" s="8" t="n"/>
      <c r="AA17" s="9" t="n">
        <v>81618317</v>
      </c>
      <c r="AB17" s="8" t="inlineStr">
        <is>
          <t>Hóa đơn mới</t>
        </is>
      </c>
      <c r="AC17" s="8" t="inlineStr">
        <is>
          <t>Tổng cục thuế đã nhận không mã</t>
        </is>
      </c>
      <c r="AD17" s="8">
        <f>HYPERLINK("","")</f>
        <v/>
      </c>
      <c r="AE17" s="8" t="inlineStr">
        <is>
          <t>Không tìm thấy mã tra cứu trên file XML, vui lòng liên hệ người bán để được cung cấp file PDF gốc.</t>
        </is>
      </c>
      <c r="AF17" s="8" t="inlineStr">
        <is>
          <t xml:space="preserve"> </t>
        </is>
      </c>
      <c r="AG17" s="8" t="n"/>
      <c r="AH17" s="8" t="n"/>
      <c r="AI17" s="8" t="inlineStr">
        <is>
          <t xml:space="preserve"> </t>
        </is>
      </c>
      <c r="AJ17" s="8" t="n"/>
      <c r="AK17" s="8" t="n"/>
    </row>
    <row r="18">
      <c r="A18" s="8" t="n">
        <v>1</v>
      </c>
      <c r="B18" s="8" t="inlineStr">
        <is>
          <t>C25TTP</t>
        </is>
      </c>
      <c r="C18" s="8" t="inlineStr">
        <is>
          <t xml:space="preserve"> 126</t>
        </is>
      </c>
      <c r="D18" s="8" t="inlineStr">
        <is>
          <t>03/01/2025</t>
        </is>
      </c>
      <c r="E18" s="8" t="inlineStr">
        <is>
          <t>03/01/2025</t>
        </is>
      </c>
      <c r="F18" s="8" t="inlineStr">
        <is>
          <t>0081FD00DC37BF40B7A989A1D55890C5C4</t>
        </is>
      </c>
      <c r="G18" s="8" t="inlineStr">
        <is>
          <t>03/01/2025</t>
        </is>
      </c>
      <c r="H18" s="8" t="inlineStr">
        <is>
          <t>VND</t>
        </is>
      </c>
      <c r="I18" s="8" t="n">
        <v>1</v>
      </c>
      <c r="J18" s="8" t="inlineStr">
        <is>
          <t>CÔNG TY TNHH THƯƠNG MẠI VÀ THỰC PHẨM SAO VIỆT</t>
        </is>
      </c>
      <c r="K18" s="8" t="inlineStr">
        <is>
          <t>0107026177</t>
        </is>
      </c>
      <c r="L18" s="8" t="inlineStr">
        <is>
          <t>Số 360, phố Đội Cấn, Phường Cống Vị, Quận Ba Đình, Thành phố Hà Nội, Việt Nam</t>
        </is>
      </c>
      <c r="M18" s="8" t="inlineStr">
        <is>
          <t>CÔNG TY TNHH THƯƠNG MẠI &amp; SẢN XUẤT THỰC PHẨM MINH ĐỨC</t>
        </is>
      </c>
      <c r="N18" s="8" t="inlineStr">
        <is>
          <t>0106374735</t>
        </is>
      </c>
      <c r="O18" s="8" t="inlineStr">
        <is>
          <t>Đội 9, Thôn Kim Xà, Xã Đông Tảo, Huyện Khoái Châu , Hưng Yên</t>
        </is>
      </c>
      <c r="P18" s="8" t="n">
        <v>0</v>
      </c>
      <c r="Q18" s="8" t="inlineStr">
        <is>
          <t>Sinh tố Dâu tây</t>
        </is>
      </c>
      <c r="R18" s="8" t="inlineStr">
        <is>
          <t>Chai 1L</t>
        </is>
      </c>
      <c r="S18" s="8" t="n">
        <v>6</v>
      </c>
      <c r="T18" s="9" t="n">
        <v>78703.7</v>
      </c>
      <c r="U18" s="9" t="n">
        <v>0</v>
      </c>
      <c r="V18" s="8" t="n">
        <v>0.08</v>
      </c>
      <c r="W18" s="9" t="n">
        <v>472222</v>
      </c>
      <c r="X18" s="9" t="n">
        <v>37777.76</v>
      </c>
      <c r="Y18" s="8" t="inlineStr"/>
      <c r="Z18" s="8" t="n"/>
      <c r="AA18" s="9" t="n">
        <v>1914000</v>
      </c>
      <c r="AB18" s="8" t="inlineStr">
        <is>
          <t>Hóa đơn mới</t>
        </is>
      </c>
      <c r="AC18" s="8" t="inlineStr">
        <is>
          <t>Đã cấp mã hóa đơn</t>
        </is>
      </c>
      <c r="AD18" s="8">
        <f>HYPERLINK("https://www.meinvoice.vn/tra-cuu/
","https://www.meinvoice.vn/tra-cuu/
")</f>
        <v/>
      </c>
      <c r="AE18" s="8" t="inlineStr">
        <is>
          <t>GDH6I8WK50GW</t>
        </is>
      </c>
      <c r="AF18" s="8" t="inlineStr">
        <is>
          <t xml:space="preserve"> </t>
        </is>
      </c>
      <c r="AG18" s="8" t="inlineStr">
        <is>
          <t>TM/CK</t>
        </is>
      </c>
      <c r="AH18" s="8" t="inlineStr">
        <is>
          <t>Hàng hóa, dịch vụ</t>
        </is>
      </c>
      <c r="AI18" s="8" t="inlineStr">
        <is>
          <t xml:space="preserve"> </t>
        </is>
      </c>
      <c r="AJ18" s="8" t="n"/>
      <c r="AK18" s="8" t="n"/>
    </row>
    <row r="19">
      <c r="A19" s="8" t="n">
        <v>1</v>
      </c>
      <c r="B19" s="8" t="inlineStr">
        <is>
          <t>C25TTP</t>
        </is>
      </c>
      <c r="C19" s="8" t="inlineStr">
        <is>
          <t xml:space="preserve"> 126</t>
        </is>
      </c>
      <c r="D19" s="8" t="inlineStr">
        <is>
          <t>03/01/2025</t>
        </is>
      </c>
      <c r="E19" s="8" t="inlineStr">
        <is>
          <t>03/01/2025</t>
        </is>
      </c>
      <c r="F19" s="8" t="inlineStr">
        <is>
          <t>0081FD00DC37BF40B7A989A1D55890C5C4</t>
        </is>
      </c>
      <c r="G19" s="8" t="inlineStr">
        <is>
          <t>03/01/2025</t>
        </is>
      </c>
      <c r="H19" s="8" t="inlineStr">
        <is>
          <t>VND</t>
        </is>
      </c>
      <c r="I19" s="8" t="n">
        <v>1</v>
      </c>
      <c r="J19" s="8" t="inlineStr">
        <is>
          <t>CÔNG TY TNHH THƯƠNG MẠI VÀ THỰC PHẨM SAO VIỆT</t>
        </is>
      </c>
      <c r="K19" s="8" t="inlineStr">
        <is>
          <t>0107026177</t>
        </is>
      </c>
      <c r="L19" s="8" t="inlineStr">
        <is>
          <t>Số 360, phố Đội Cấn, Phường Cống Vị, Quận Ba Đình, Thành phố Hà Nội, Việt Nam</t>
        </is>
      </c>
      <c r="M19" s="8" t="inlineStr">
        <is>
          <t>CÔNG TY TNHH THƯƠNG MẠI &amp; SẢN XUẤT THỰC PHẨM MINH ĐỨC</t>
        </is>
      </c>
      <c r="N19" s="8" t="inlineStr">
        <is>
          <t>0106374735</t>
        </is>
      </c>
      <c r="O19" s="8" t="inlineStr">
        <is>
          <t>Đội 9, Thôn Kim Xà, Xã Đông Tảo, Huyện Khoái Châu , Hưng Yên</t>
        </is>
      </c>
      <c r="P19" s="8" t="n">
        <v>0</v>
      </c>
      <c r="Q19" s="8" t="inlineStr">
        <is>
          <t>Sinh tố Việt Quất</t>
        </is>
      </c>
      <c r="R19" s="8" t="inlineStr">
        <is>
          <t>Chai 1L</t>
        </is>
      </c>
      <c r="S19" s="8" t="n">
        <v>6</v>
      </c>
      <c r="T19" s="9" t="n">
        <v>110185.25</v>
      </c>
      <c r="U19" s="9" t="n">
        <v>0</v>
      </c>
      <c r="V19" s="8" t="n">
        <v>0.08</v>
      </c>
      <c r="W19" s="9" t="n">
        <v>661112</v>
      </c>
      <c r="X19" s="9" t="n">
        <v>52888.96</v>
      </c>
      <c r="Y19" s="8" t="inlineStr"/>
      <c r="Z19" s="8" t="inlineStr"/>
      <c r="AA19" s="9" t="inlineStr"/>
      <c r="AB19" s="8" t="inlineStr">
        <is>
          <t>Hóa đơn mới</t>
        </is>
      </c>
      <c r="AC19" s="8" t="inlineStr">
        <is>
          <t>Đã cấp mã hóa đơn</t>
        </is>
      </c>
      <c r="AD19" s="8">
        <f>HYPERLINK("","")</f>
        <v/>
      </c>
      <c r="AE19" s="8" t="inlineStr"/>
      <c r="AF19" s="8" t="inlineStr">
        <is>
          <t xml:space="preserve"> </t>
        </is>
      </c>
      <c r="AG19" s="8" t="inlineStr">
        <is>
          <t>TM/CK</t>
        </is>
      </c>
      <c r="AH19" s="8" t="inlineStr">
        <is>
          <t>Hàng hóa, dịch vụ</t>
        </is>
      </c>
      <c r="AI19" s="8" t="inlineStr">
        <is>
          <t xml:space="preserve"> </t>
        </is>
      </c>
      <c r="AJ19" s="8" t="n"/>
      <c r="AK19" s="8" t="n"/>
    </row>
    <row r="20">
      <c r="A20" s="8" t="n">
        <v>1</v>
      </c>
      <c r="B20" s="8" t="inlineStr">
        <is>
          <t>C25TTP</t>
        </is>
      </c>
      <c r="C20" s="8" t="inlineStr">
        <is>
          <t xml:space="preserve"> 126</t>
        </is>
      </c>
      <c r="D20" s="8" t="inlineStr">
        <is>
          <t>03/01/2025</t>
        </is>
      </c>
      <c r="E20" s="8" t="inlineStr">
        <is>
          <t>03/01/2025</t>
        </is>
      </c>
      <c r="F20" s="8" t="inlineStr">
        <is>
          <t>0081FD00DC37BF40B7A989A1D55890C5C4</t>
        </is>
      </c>
      <c r="G20" s="8" t="inlineStr">
        <is>
          <t>03/01/2025</t>
        </is>
      </c>
      <c r="H20" s="8" t="inlineStr">
        <is>
          <t>VND</t>
        </is>
      </c>
      <c r="I20" s="8" t="n">
        <v>1</v>
      </c>
      <c r="J20" s="8" t="inlineStr">
        <is>
          <t>CÔNG TY TNHH THƯƠNG MẠI VÀ THỰC PHẨM SAO VIỆT</t>
        </is>
      </c>
      <c r="K20" s="8" t="inlineStr">
        <is>
          <t>0107026177</t>
        </is>
      </c>
      <c r="L20" s="8" t="inlineStr">
        <is>
          <t>Số 360, phố Đội Cấn, Phường Cống Vị, Quận Ba Đình, Thành phố Hà Nội, Việt Nam</t>
        </is>
      </c>
      <c r="M20" s="8" t="inlineStr">
        <is>
          <t>CÔNG TY TNHH THƯƠNG MẠI &amp; SẢN XUẤT THỰC PHẨM MINH ĐỨC</t>
        </is>
      </c>
      <c r="N20" s="8" t="inlineStr">
        <is>
          <t>0106374735</t>
        </is>
      </c>
      <c r="O20" s="8" t="inlineStr">
        <is>
          <t>Đội 9, Thôn Kim Xà, Xã Đông Tảo, Huyện Khoái Châu , Hưng Yên</t>
        </is>
      </c>
      <c r="P20" s="8" t="n">
        <v>0</v>
      </c>
      <c r="Q20" s="8" t="inlineStr">
        <is>
          <t>Sinh tố Dưa Lưới</t>
        </is>
      </c>
      <c r="R20" s="8" t="inlineStr">
        <is>
          <t>Chai 1L</t>
        </is>
      </c>
      <c r="S20" s="8" t="n">
        <v>6</v>
      </c>
      <c r="T20" s="9" t="n">
        <v>106481.38</v>
      </c>
      <c r="U20" s="9" t="n">
        <v>0</v>
      </c>
      <c r="V20" s="8" t="n">
        <v>0.08</v>
      </c>
      <c r="W20" s="9" t="n">
        <v>638888</v>
      </c>
      <c r="X20" s="9" t="n">
        <v>51111.28</v>
      </c>
      <c r="Y20" s="8" t="inlineStr"/>
      <c r="Z20" s="8" t="inlineStr"/>
      <c r="AA20" s="9" t="inlineStr"/>
      <c r="AB20" s="8" t="inlineStr">
        <is>
          <t>Hóa đơn mới</t>
        </is>
      </c>
      <c r="AC20" s="8" t="inlineStr">
        <is>
          <t>Đã cấp mã hóa đơn</t>
        </is>
      </c>
      <c r="AD20" s="8">
        <f>HYPERLINK("","")</f>
        <v/>
      </c>
      <c r="AE20" s="8" t="inlineStr"/>
      <c r="AF20" s="8" t="inlineStr">
        <is>
          <t xml:space="preserve"> </t>
        </is>
      </c>
      <c r="AG20" s="8" t="inlineStr">
        <is>
          <t>TM/CK</t>
        </is>
      </c>
      <c r="AH20" s="8" t="inlineStr">
        <is>
          <t>Hàng hóa, dịch vụ</t>
        </is>
      </c>
      <c r="AI20" s="8" t="inlineStr">
        <is>
          <t xml:space="preserve"> </t>
        </is>
      </c>
      <c r="AJ20" s="8" t="n"/>
      <c r="AK20" s="8" t="n"/>
    </row>
    <row r="21">
      <c r="A21" s="8" t="n">
        <v>1</v>
      </c>
      <c r="B21" s="8" t="inlineStr">
        <is>
          <t>C25TBT</t>
        </is>
      </c>
      <c r="C21" s="8" t="inlineStr">
        <is>
          <t xml:space="preserve"> 115</t>
        </is>
      </c>
      <c r="D21" s="8" t="inlineStr">
        <is>
          <t>03/01/2025</t>
        </is>
      </c>
      <c r="E21" s="8" t="inlineStr">
        <is>
          <t>03/01/2025</t>
        </is>
      </c>
      <c r="F21" s="8" t="inlineStr">
        <is>
          <t>00466CE645371944479AE1D2FBD850F49D</t>
        </is>
      </c>
      <c r="G21" s="8" t="inlineStr">
        <is>
          <t>03/01/2025</t>
        </is>
      </c>
      <c r="H21" s="8" t="inlineStr">
        <is>
          <t>VND</t>
        </is>
      </c>
      <c r="I21" s="8" t="n">
        <v>1</v>
      </c>
      <c r="J21" s="8" t="inlineStr">
        <is>
          <t>CÔNG TY TNHH BRENNTAG VIỆT NAM</t>
        </is>
      </c>
      <c r="K21" s="8" t="inlineStr">
        <is>
          <t>0310474190</t>
        </is>
      </c>
      <c r="L21" s="8" t="inlineStr">
        <is>
          <t>120 Hoàng Hoa Thám, Phường 7, Quận Bình Thạnh, Thành phố Hồ Chí Minh, Việt Nam</t>
        </is>
      </c>
      <c r="M21" s="8" t="inlineStr">
        <is>
          <t>CÔNG TY TNHH THƯƠNG MẠI &amp; SẢN XUẤT THỰC PHẨM MINH ĐỨC</t>
        </is>
      </c>
      <c r="N21" s="8" t="inlineStr">
        <is>
          <t>0106374735</t>
        </is>
      </c>
      <c r="O21" s="8" t="inlineStr">
        <is>
          <t>ĐỘI 9, THÔN KIM XÀ, XÃ ĐÔNG TẢO, HUYỆN KHOÁI CHÂU, TỈNH HƯNG YÊN, VIỆT NAM</t>
        </is>
      </c>
      <c r="P21" s="8" t="n">
        <v>0</v>
      </c>
      <c r="Q21" s="8" t="inlineStr">
        <is>
          <t>NGUYÊN LIỆU THỰC PHẨM : BỘT VỊ PHÔ MAI - CHEESE SEASONING POWDER</t>
        </is>
      </c>
      <c r="R21" s="8" t="inlineStr">
        <is>
          <t>KG</t>
        </is>
      </c>
      <c r="S21" s="8" t="n">
        <v>200</v>
      </c>
      <c r="T21" s="9" t="n">
        <v>315000</v>
      </c>
      <c r="U21" s="9" t="n">
        <v>0</v>
      </c>
      <c r="V21" s="8" t="n">
        <v>0.08</v>
      </c>
      <c r="W21" s="9" t="n">
        <v>63000000</v>
      </c>
      <c r="X21" s="9" t="n">
        <v>5040000</v>
      </c>
      <c r="Y21" s="8" t="inlineStr"/>
      <c r="Z21" s="8" t="n"/>
      <c r="AA21" s="9" t="n">
        <v>108248400</v>
      </c>
      <c r="AB21" s="8" t="inlineStr">
        <is>
          <t>Hóa đơn mới</t>
        </is>
      </c>
      <c r="AC21" s="8" t="inlineStr">
        <is>
          <t>Đã cấp mã hóa đơn</t>
        </is>
      </c>
      <c r="AD21" s="8">
        <f>HYPERLINK("https://vinvoice.viettel.vn/utilities/invoice-search
","https://vinvoice.viettel.vn/utilities/invoice-search
")</f>
        <v/>
      </c>
      <c r="AE21" s="8" t="inlineStr">
        <is>
          <t>XS0H07SEQSSEHSX</t>
        </is>
      </c>
      <c r="AF21" s="8" t="inlineStr">
        <is>
          <t xml:space="preserve"> </t>
        </is>
      </c>
      <c r="AG21" s="8" t="inlineStr">
        <is>
          <t>TIỀN MẶT/CHUYỂN KHOẢN</t>
        </is>
      </c>
      <c r="AH21" s="8" t="inlineStr">
        <is>
          <t>Hàng hóa, dịch vụ</t>
        </is>
      </c>
      <c r="AI21" s="8" t="inlineStr">
        <is>
          <t xml:space="preserve"> </t>
        </is>
      </c>
      <c r="AJ21" s="8" t="n"/>
      <c r="AK21" s="8" t="n"/>
    </row>
    <row r="22">
      <c r="A22" s="8" t="n">
        <v>1</v>
      </c>
      <c r="B22" s="8" t="inlineStr">
        <is>
          <t>C25TBT</t>
        </is>
      </c>
      <c r="C22" s="8" t="inlineStr">
        <is>
          <t xml:space="preserve"> 115</t>
        </is>
      </c>
      <c r="D22" s="8" t="inlineStr">
        <is>
          <t>03/01/2025</t>
        </is>
      </c>
      <c r="E22" s="8" t="inlineStr">
        <is>
          <t>03/01/2025</t>
        </is>
      </c>
      <c r="F22" s="8" t="inlineStr">
        <is>
          <t>00466CE645371944479AE1D2FBD850F49D</t>
        </is>
      </c>
      <c r="G22" s="8" t="inlineStr">
        <is>
          <t>03/01/2025</t>
        </is>
      </c>
      <c r="H22" s="8" t="inlineStr">
        <is>
          <t>VND</t>
        </is>
      </c>
      <c r="I22" s="8" t="n">
        <v>1</v>
      </c>
      <c r="J22" s="8" t="inlineStr">
        <is>
          <t>CÔNG TY TNHH BRENNTAG VIỆT NAM</t>
        </is>
      </c>
      <c r="K22" s="8" t="inlineStr">
        <is>
          <t>0310474190</t>
        </is>
      </c>
      <c r="L22" s="8" t="inlineStr">
        <is>
          <t>120 Hoàng Hoa Thám, Phường 7, Quận Bình Thạnh, Thành phố Hồ Chí Minh, Việt Nam</t>
        </is>
      </c>
      <c r="M22" s="8" t="inlineStr">
        <is>
          <t>CÔNG TY TNHH THƯƠNG MẠI &amp; SẢN XUẤT THỰC PHẨM MINH ĐỨC</t>
        </is>
      </c>
      <c r="N22" s="8" t="inlineStr">
        <is>
          <t>0106374735</t>
        </is>
      </c>
      <c r="O22" s="8" t="inlineStr">
        <is>
          <t>ĐỘI 9, THÔN KIM XÀ, XÃ ĐÔNG TẢO, HUYỆN KHOÁI CHÂU, TỈNH HƯNG YÊN, VIỆT NAM</t>
        </is>
      </c>
      <c r="P22" s="8" t="n">
        <v>0</v>
      </c>
      <c r="Q22" s="8" t="inlineStr">
        <is>
          <t>25KG/BAG</t>
        </is>
      </c>
      <c r="R22" s="8" t="inlineStr"/>
      <c r="S22" s="8" t="n"/>
      <c r="T22" s="9" t="n"/>
      <c r="U22" s="9" t="n">
        <v>0</v>
      </c>
      <c r="V22" s="8" t="n">
        <v>0.08</v>
      </c>
      <c r="W22" s="9" t="n"/>
      <c r="X22" s="9" t="n">
        <v>0</v>
      </c>
      <c r="Y22" s="8" t="inlineStr"/>
      <c r="Z22" s="8" t="inlineStr"/>
      <c r="AA22" s="9" t="inlineStr"/>
      <c r="AB22" s="8" t="inlineStr">
        <is>
          <t>Hóa đơn mới</t>
        </is>
      </c>
      <c r="AC22" s="8" t="inlineStr">
        <is>
          <t>Đã cấp mã hóa đơn</t>
        </is>
      </c>
      <c r="AD22" s="8">
        <f>HYPERLINK("","")</f>
        <v/>
      </c>
      <c r="AE22" s="8" t="inlineStr"/>
      <c r="AF22" s="8" t="inlineStr">
        <is>
          <t xml:space="preserve"> </t>
        </is>
      </c>
      <c r="AG22" s="8" t="inlineStr">
        <is>
          <t>TIỀN MẶT/CHUYỂN KHOẢN</t>
        </is>
      </c>
      <c r="AH22" s="8" t="inlineStr">
        <is>
          <t>Ghi chú, diễn giải</t>
        </is>
      </c>
      <c r="AI22" s="8" t="inlineStr">
        <is>
          <t xml:space="preserve"> </t>
        </is>
      </c>
      <c r="AJ22" s="8" t="n"/>
      <c r="AK22" s="8" t="n"/>
    </row>
    <row r="23">
      <c r="A23" s="8" t="n">
        <v>1</v>
      </c>
      <c r="B23" s="8" t="inlineStr">
        <is>
          <t>C25TBT</t>
        </is>
      </c>
      <c r="C23" s="8" t="inlineStr">
        <is>
          <t xml:space="preserve"> 115</t>
        </is>
      </c>
      <c r="D23" s="8" t="inlineStr">
        <is>
          <t>03/01/2025</t>
        </is>
      </c>
      <c r="E23" s="8" t="inlineStr">
        <is>
          <t>03/01/2025</t>
        </is>
      </c>
      <c r="F23" s="8" t="inlineStr">
        <is>
          <t>00466CE645371944479AE1D2FBD850F49D</t>
        </is>
      </c>
      <c r="G23" s="8" t="inlineStr">
        <is>
          <t>03/01/2025</t>
        </is>
      </c>
      <c r="H23" s="8" t="inlineStr">
        <is>
          <t>VND</t>
        </is>
      </c>
      <c r="I23" s="8" t="n">
        <v>1</v>
      </c>
      <c r="J23" s="8" t="inlineStr">
        <is>
          <t>CÔNG TY TNHH BRENNTAG VIỆT NAM</t>
        </is>
      </c>
      <c r="K23" s="8" t="inlineStr">
        <is>
          <t>0310474190</t>
        </is>
      </c>
      <c r="L23" s="8" t="inlineStr">
        <is>
          <t>120 Hoàng Hoa Thám, Phường 7, Quận Bình Thạnh, Thành phố Hồ Chí Minh, Việt Nam</t>
        </is>
      </c>
      <c r="M23" s="8" t="inlineStr">
        <is>
          <t>CÔNG TY TNHH THƯƠNG MẠI &amp; SẢN XUẤT THỰC PHẨM MINH ĐỨC</t>
        </is>
      </c>
      <c r="N23" s="8" t="inlineStr">
        <is>
          <t>0106374735</t>
        </is>
      </c>
      <c r="O23" s="8" t="inlineStr">
        <is>
          <t>ĐỘI 9, THÔN KIM XÀ, XÃ ĐÔNG TẢO, HUYỆN KHOÁI CHÂU, TỈNH HƯNG YÊN, VIỆT NAM</t>
        </is>
      </c>
      <c r="P23" s="8" t="n">
        <v>0</v>
      </c>
      <c r="Q23" s="8" t="inlineStr">
        <is>
          <t>BỘT LÒNG ĐỎ TRỨNG - PASTEURISED SPRAY DRIED HEN EGG YOLK POWDER</t>
        </is>
      </c>
      <c r="R23" s="8" t="inlineStr">
        <is>
          <t>KG</t>
        </is>
      </c>
      <c r="S23" s="8" t="n">
        <v>60</v>
      </c>
      <c r="T23" s="9" t="n">
        <v>187000</v>
      </c>
      <c r="U23" s="9" t="n">
        <v>0</v>
      </c>
      <c r="V23" s="8" t="n">
        <v>0.08</v>
      </c>
      <c r="W23" s="9" t="n">
        <v>11220000</v>
      </c>
      <c r="X23" s="9" t="n">
        <v>897600</v>
      </c>
      <c r="Y23" s="8" t="inlineStr"/>
      <c r="Z23" s="8" t="inlineStr"/>
      <c r="AA23" s="9" t="inlineStr"/>
      <c r="AB23" s="8" t="inlineStr">
        <is>
          <t>Hóa đơn mới</t>
        </is>
      </c>
      <c r="AC23" s="8" t="inlineStr">
        <is>
          <t>Đã cấp mã hóa đơn</t>
        </is>
      </c>
      <c r="AD23" s="8">
        <f>HYPERLINK("","")</f>
        <v/>
      </c>
      <c r="AE23" s="8" t="inlineStr"/>
      <c r="AF23" s="8" t="inlineStr">
        <is>
          <t xml:space="preserve"> </t>
        </is>
      </c>
      <c r="AG23" s="8" t="inlineStr">
        <is>
          <t>TIỀN MẶT/CHUYỂN KHOẢN</t>
        </is>
      </c>
      <c r="AH23" s="8" t="inlineStr">
        <is>
          <t>Hàng hóa, dịch vụ</t>
        </is>
      </c>
      <c r="AI23" s="8" t="inlineStr">
        <is>
          <t xml:space="preserve"> </t>
        </is>
      </c>
      <c r="AJ23" s="8" t="n"/>
      <c r="AK23" s="8" t="n"/>
    </row>
    <row r="24">
      <c r="A24" s="8" t="n">
        <v>1</v>
      </c>
      <c r="B24" s="8" t="inlineStr">
        <is>
          <t>C25TBT</t>
        </is>
      </c>
      <c r="C24" s="8" t="inlineStr">
        <is>
          <t xml:space="preserve"> 115</t>
        </is>
      </c>
      <c r="D24" s="8" t="inlineStr">
        <is>
          <t>03/01/2025</t>
        </is>
      </c>
      <c r="E24" s="8" t="inlineStr">
        <is>
          <t>03/01/2025</t>
        </is>
      </c>
      <c r="F24" s="8" t="inlineStr">
        <is>
          <t>00466CE645371944479AE1D2FBD850F49D</t>
        </is>
      </c>
      <c r="G24" s="8" t="inlineStr">
        <is>
          <t>03/01/2025</t>
        </is>
      </c>
      <c r="H24" s="8" t="inlineStr">
        <is>
          <t>VND</t>
        </is>
      </c>
      <c r="I24" s="8" t="n">
        <v>1</v>
      </c>
      <c r="J24" s="8" t="inlineStr">
        <is>
          <t>CÔNG TY TNHH BRENNTAG VIỆT NAM</t>
        </is>
      </c>
      <c r="K24" s="8" t="inlineStr">
        <is>
          <t>0310474190</t>
        </is>
      </c>
      <c r="L24" s="8" t="inlineStr">
        <is>
          <t>120 Hoàng Hoa Thám, Phường 7, Quận Bình Thạnh, Thành phố Hồ Chí Minh, Việt Nam</t>
        </is>
      </c>
      <c r="M24" s="8" t="inlineStr">
        <is>
          <t>CÔNG TY TNHH THƯƠNG MẠI &amp; SẢN XUẤT THỰC PHẨM MINH ĐỨC</t>
        </is>
      </c>
      <c r="N24" s="8" t="inlineStr">
        <is>
          <t>0106374735</t>
        </is>
      </c>
      <c r="O24" s="8" t="inlineStr">
        <is>
          <t>ĐỘI 9, THÔN KIM XÀ, XÃ ĐÔNG TẢO, HUYỆN KHOÁI CHÂU, TỈNH HƯNG YÊN, VIỆT NAM</t>
        </is>
      </c>
      <c r="P24" s="8" t="n">
        <v>0</v>
      </c>
      <c r="Q24" s="8" t="inlineStr">
        <is>
          <t>20KG/CARTON</t>
        </is>
      </c>
      <c r="R24" s="8" t="inlineStr"/>
      <c r="S24" s="8" t="n"/>
      <c r="T24" s="9" t="n"/>
      <c r="U24" s="9" t="n">
        <v>0</v>
      </c>
      <c r="V24" s="8" t="n">
        <v>0.08</v>
      </c>
      <c r="W24" s="9" t="n"/>
      <c r="X24" s="9" t="n">
        <v>0</v>
      </c>
      <c r="Y24" s="8" t="inlineStr"/>
      <c r="Z24" s="8" t="inlineStr"/>
      <c r="AA24" s="9" t="inlineStr"/>
      <c r="AB24" s="8" t="inlineStr">
        <is>
          <t>Hóa đơn mới</t>
        </is>
      </c>
      <c r="AC24" s="8" t="inlineStr">
        <is>
          <t>Đã cấp mã hóa đơn</t>
        </is>
      </c>
      <c r="AD24" s="8">
        <f>HYPERLINK("","")</f>
        <v/>
      </c>
      <c r="AE24" s="8" t="inlineStr"/>
      <c r="AF24" s="8" t="inlineStr">
        <is>
          <t xml:space="preserve"> </t>
        </is>
      </c>
      <c r="AG24" s="8" t="inlineStr">
        <is>
          <t>TIỀN MẶT/CHUYỂN KHOẢN</t>
        </is>
      </c>
      <c r="AH24" s="8" t="inlineStr">
        <is>
          <t>Ghi chú, diễn giải</t>
        </is>
      </c>
      <c r="AI24" s="8" t="inlineStr">
        <is>
          <t xml:space="preserve"> </t>
        </is>
      </c>
      <c r="AJ24" s="8" t="n"/>
      <c r="AK24" s="8" t="n"/>
    </row>
    <row r="25">
      <c r="A25" s="8" t="n">
        <v>1</v>
      </c>
      <c r="B25" s="8" t="inlineStr">
        <is>
          <t>C25TBT</t>
        </is>
      </c>
      <c r="C25" s="8" t="inlineStr">
        <is>
          <t xml:space="preserve"> 115</t>
        </is>
      </c>
      <c r="D25" s="8" t="inlineStr">
        <is>
          <t>03/01/2025</t>
        </is>
      </c>
      <c r="E25" s="8" t="inlineStr">
        <is>
          <t>03/01/2025</t>
        </is>
      </c>
      <c r="F25" s="8" t="inlineStr">
        <is>
          <t>00466CE645371944479AE1D2FBD850F49D</t>
        </is>
      </c>
      <c r="G25" s="8" t="inlineStr">
        <is>
          <t>03/01/2025</t>
        </is>
      </c>
      <c r="H25" s="8" t="inlineStr">
        <is>
          <t>VND</t>
        </is>
      </c>
      <c r="I25" s="8" t="n">
        <v>1</v>
      </c>
      <c r="J25" s="8" t="inlineStr">
        <is>
          <t>CÔNG TY TNHH BRENNTAG VIỆT NAM</t>
        </is>
      </c>
      <c r="K25" s="8" t="inlineStr">
        <is>
          <t>0310474190</t>
        </is>
      </c>
      <c r="L25" s="8" t="inlineStr">
        <is>
          <t>120 Hoàng Hoa Thám, Phường 7, Quận Bình Thạnh, Thành phố Hồ Chí Minh, Việt Nam</t>
        </is>
      </c>
      <c r="M25" s="8" t="inlineStr">
        <is>
          <t>CÔNG TY TNHH THƯƠNG MẠI &amp; SẢN XUẤT THỰC PHẨM MINH ĐỨC</t>
        </is>
      </c>
      <c r="N25" s="8" t="inlineStr">
        <is>
          <t>0106374735</t>
        </is>
      </c>
      <c r="O25" s="8" t="inlineStr">
        <is>
          <t>ĐỘI 9, THÔN KIM XÀ, XÃ ĐÔNG TẢO, HUYỆN KHOÁI CHÂU, TỈNH HƯNG YÊN, VIỆT NAM</t>
        </is>
      </c>
      <c r="P25" s="8" t="n">
        <v>0</v>
      </c>
      <c r="Q25" s="8" t="inlineStr">
        <is>
          <t>PHỤ GIA THỰC PHẨM - TIXOSIL 38 15KG/BAG</t>
        </is>
      </c>
      <c r="R25" s="8" t="inlineStr">
        <is>
          <t>KG</t>
        </is>
      </c>
      <c r="S25" s="8" t="n">
        <v>510</v>
      </c>
      <c r="T25" s="9" t="n">
        <v>51000</v>
      </c>
      <c r="U25" s="9" t="n">
        <v>0</v>
      </c>
      <c r="V25" s="8" t="n">
        <v>0.08</v>
      </c>
      <c r="W25" s="9" t="n">
        <v>26010000</v>
      </c>
      <c r="X25" s="9" t="n">
        <v>2080800</v>
      </c>
      <c r="Y25" s="8" t="inlineStr"/>
      <c r="Z25" s="8" t="inlineStr"/>
      <c r="AA25" s="9" t="inlineStr"/>
      <c r="AB25" s="8" t="inlineStr">
        <is>
          <t>Hóa đơn mới</t>
        </is>
      </c>
      <c r="AC25" s="8" t="inlineStr">
        <is>
          <t>Đã cấp mã hóa đơn</t>
        </is>
      </c>
      <c r="AD25" s="8">
        <f>HYPERLINK("","")</f>
        <v/>
      </c>
      <c r="AE25" s="8" t="inlineStr"/>
      <c r="AF25" s="8" t="inlineStr">
        <is>
          <t xml:space="preserve"> </t>
        </is>
      </c>
      <c r="AG25" s="8" t="inlineStr">
        <is>
          <t>TIỀN MẶT/CHUYỂN KHOẢN</t>
        </is>
      </c>
      <c r="AH25" s="8" t="inlineStr">
        <is>
          <t>Hàng hóa, dịch vụ</t>
        </is>
      </c>
      <c r="AI25" s="8" t="inlineStr">
        <is>
          <t xml:space="preserve"> </t>
        </is>
      </c>
      <c r="AJ25" s="8" t="n"/>
      <c r="AK25" s="8" t="n"/>
    </row>
    <row r="26">
      <c r="A26" s="8" t="n">
        <v>1</v>
      </c>
      <c r="B26" s="8" t="inlineStr">
        <is>
          <t>C25TBT</t>
        </is>
      </c>
      <c r="C26" s="8" t="inlineStr">
        <is>
          <t xml:space="preserve"> 114</t>
        </is>
      </c>
      <c r="D26" s="8" t="inlineStr">
        <is>
          <t>03/01/2025</t>
        </is>
      </c>
      <c r="E26" s="8" t="inlineStr">
        <is>
          <t>03/01/2025</t>
        </is>
      </c>
      <c r="F26" s="8" t="inlineStr">
        <is>
          <t>0017D133386ED04E2BAE841189F567EACE</t>
        </is>
      </c>
      <c r="G26" s="8" t="inlineStr">
        <is>
          <t>03/01/2025</t>
        </is>
      </c>
      <c r="H26" s="8" t="inlineStr">
        <is>
          <t>VND</t>
        </is>
      </c>
      <c r="I26" s="8" t="n">
        <v>1</v>
      </c>
      <c r="J26" s="8" t="inlineStr">
        <is>
          <t>CÔNG TY TNHH BRENNTAG VIỆT NAM</t>
        </is>
      </c>
      <c r="K26" s="8" t="inlineStr">
        <is>
          <t>0310474190</t>
        </is>
      </c>
      <c r="L26" s="8" t="inlineStr">
        <is>
          <t>120 Hoàng Hoa Thám, Phường 7, Quận Bình Thạnh, Thành phố Hồ Chí Minh, Việt Nam</t>
        </is>
      </c>
      <c r="M26" s="8" t="inlineStr">
        <is>
          <t>CÔNG TY TNHH THƯƠNG MẠI &amp; SẢN XUẤT THỰC PHẨM MINH ĐỨC</t>
        </is>
      </c>
      <c r="N26" s="8" t="inlineStr">
        <is>
          <t>0106374735</t>
        </is>
      </c>
      <c r="O26" s="8" t="inlineStr">
        <is>
          <t>ĐỘI 9, THÔN KIM XÀ, XÃ ĐÔNG TẢO, HUYỆN KHOÁI CHÂU, TỈNH HƯNG YÊN, VIỆT NAM</t>
        </is>
      </c>
      <c r="P26" s="8" t="n">
        <v>0</v>
      </c>
      <c r="Q26" s="8" t="inlineStr">
        <is>
          <t>TINH BỘT BIẾN TÍNH - KREATION D8 25KG/BAG</t>
        </is>
      </c>
      <c r="R26" s="8" t="inlineStr">
        <is>
          <t>KG</t>
        </is>
      </c>
      <c r="S26" s="8" t="n">
        <v>200</v>
      </c>
      <c r="T26" s="9" t="n">
        <v>43000</v>
      </c>
      <c r="U26" s="9" t="n">
        <v>0</v>
      </c>
      <c r="V26" s="8" t="n">
        <v>0.1</v>
      </c>
      <c r="W26" s="9" t="n">
        <v>8600000</v>
      </c>
      <c r="X26" s="9" t="n">
        <v>860000</v>
      </c>
      <c r="Y26" s="8" t="inlineStr"/>
      <c r="Z26" s="8" t="n"/>
      <c r="AA26" s="9" t="n">
        <v>35860000</v>
      </c>
      <c r="AB26" s="8" t="inlineStr">
        <is>
          <t>Hóa đơn mới</t>
        </is>
      </c>
      <c r="AC26" s="8" t="inlineStr">
        <is>
          <t>Đã cấp mã hóa đơn</t>
        </is>
      </c>
      <c r="AD26" s="8">
        <f>HYPERLINK("https://vinvoice.viettel.vn/utilities/invoice-search
","https://vinvoice.viettel.vn/utilities/invoice-search
")</f>
        <v/>
      </c>
      <c r="AE26" s="8" t="inlineStr">
        <is>
          <t>C81CD1DU8DC9TO6</t>
        </is>
      </c>
      <c r="AF26" s="8" t="inlineStr">
        <is>
          <t xml:space="preserve"> </t>
        </is>
      </c>
      <c r="AG26" s="8" t="inlineStr">
        <is>
          <t>TIỀN MẶT/CHUYỂN KHOẢN</t>
        </is>
      </c>
      <c r="AH26" s="8" t="inlineStr">
        <is>
          <t>Hàng hóa, dịch vụ</t>
        </is>
      </c>
      <c r="AI26" s="8" t="inlineStr">
        <is>
          <t xml:space="preserve"> </t>
        </is>
      </c>
      <c r="AJ26" s="8" t="n"/>
      <c r="AK26" s="8" t="n"/>
    </row>
    <row r="27">
      <c r="A27" s="8" t="n">
        <v>1</v>
      </c>
      <c r="B27" s="8" t="inlineStr">
        <is>
          <t>C25TBT</t>
        </is>
      </c>
      <c r="C27" s="8" t="inlineStr">
        <is>
          <t xml:space="preserve"> 114</t>
        </is>
      </c>
      <c r="D27" s="8" t="inlineStr">
        <is>
          <t>03/01/2025</t>
        </is>
      </c>
      <c r="E27" s="8" t="inlineStr">
        <is>
          <t>03/01/2025</t>
        </is>
      </c>
      <c r="F27" s="8" t="inlineStr">
        <is>
          <t>0017D133386ED04E2BAE841189F567EACE</t>
        </is>
      </c>
      <c r="G27" s="8" t="inlineStr">
        <is>
          <t>03/01/2025</t>
        </is>
      </c>
      <c r="H27" s="8" t="inlineStr">
        <is>
          <t>VND</t>
        </is>
      </c>
      <c r="I27" s="8" t="n">
        <v>1</v>
      </c>
      <c r="J27" s="8" t="inlineStr">
        <is>
          <t>CÔNG TY TNHH BRENNTAG VIỆT NAM</t>
        </is>
      </c>
      <c r="K27" s="8" t="inlineStr">
        <is>
          <t>0310474190</t>
        </is>
      </c>
      <c r="L27" s="8" t="inlineStr">
        <is>
          <t>120 Hoàng Hoa Thám, Phường 7, Quận Bình Thạnh, Thành phố Hồ Chí Minh, Việt Nam</t>
        </is>
      </c>
      <c r="M27" s="8" t="inlineStr">
        <is>
          <t>CÔNG TY TNHH THƯƠNG MẠI &amp; SẢN XUẤT THỰC PHẨM MINH ĐỨC</t>
        </is>
      </c>
      <c r="N27" s="8" t="inlineStr">
        <is>
          <t>0106374735</t>
        </is>
      </c>
      <c r="O27" s="8" t="inlineStr">
        <is>
          <t>ĐỘI 9, THÔN KIM XÀ, XÃ ĐÔNG TẢO, HUYỆN KHOÁI CHÂU, TỈNH HƯNG YÊN, VIỆT NAM</t>
        </is>
      </c>
      <c r="P27" s="8" t="n">
        <v>0</v>
      </c>
      <c r="Q27" s="8" t="inlineStr">
        <is>
          <t>HƯƠNG - GOVANIL SMART 25KG/BOX</t>
        </is>
      </c>
      <c r="R27" s="8" t="inlineStr">
        <is>
          <t>KG</t>
        </is>
      </c>
      <c r="S27" s="8" t="n">
        <v>50</v>
      </c>
      <c r="T27" s="9" t="n">
        <v>480000</v>
      </c>
      <c r="U27" s="9" t="n">
        <v>0</v>
      </c>
      <c r="V27" s="8" t="n">
        <v>0.1</v>
      </c>
      <c r="W27" s="9" t="n">
        <v>24000000</v>
      </c>
      <c r="X27" s="9" t="n">
        <v>2400000</v>
      </c>
      <c r="Y27" s="8" t="inlineStr"/>
      <c r="Z27" s="8" t="inlineStr"/>
      <c r="AA27" s="9" t="inlineStr"/>
      <c r="AB27" s="8" t="inlineStr">
        <is>
          <t>Hóa đơn mới</t>
        </is>
      </c>
      <c r="AC27" s="8" t="inlineStr">
        <is>
          <t>Đã cấp mã hóa đơn</t>
        </is>
      </c>
      <c r="AD27" s="8">
        <f>HYPERLINK("","")</f>
        <v/>
      </c>
      <c r="AE27" s="8" t="inlineStr"/>
      <c r="AF27" s="8" t="inlineStr">
        <is>
          <t xml:space="preserve"> </t>
        </is>
      </c>
      <c r="AG27" s="8" t="inlineStr">
        <is>
          <t>TIỀN MẶT/CHUYỂN KHOẢN</t>
        </is>
      </c>
      <c r="AH27" s="8" t="inlineStr">
        <is>
          <t>Hàng hóa, dịch vụ</t>
        </is>
      </c>
      <c r="AI27" s="8" t="inlineStr">
        <is>
          <t xml:space="preserve"> </t>
        </is>
      </c>
      <c r="AJ27" s="8" t="n"/>
      <c r="AK27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DucHuy</dc:creator>
  <dcterms:created xmlns:dcterms="http://purl.org/dc/terms/" xmlns:xsi="http://www.w3.org/2001/XMLSchema-instance" xsi:type="dcterms:W3CDTF">2023-12-03T03:44:41Z</dcterms:created>
  <dcterms:modified xmlns:dcterms="http://purl.org/dc/terms/" xmlns:xsi="http://www.w3.org/2001/XMLSchema-instance" xsi:type="dcterms:W3CDTF">2025-11-16T05:53:25Z</dcterms:modified>
  <cp:lastModifiedBy>Nguyen Duc Huy</cp:lastModifiedBy>
</cp:coreProperties>
</file>